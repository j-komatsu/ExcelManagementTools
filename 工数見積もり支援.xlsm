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npei\Desktop\エクセルマクロ\"/>
    </mc:Choice>
  </mc:AlternateContent>
  <xr:revisionPtr revIDLastSave="0" documentId="13_ncr:1_{EC8F003D-9DC4-45AD-AF96-807C76A6854E}" xr6:coauthVersionLast="47" xr6:coauthVersionMax="47" xr10:uidLastSave="{00000000-0000-0000-0000-000000000000}"/>
  <bookViews>
    <workbookView xWindow="-108" yWindow="-108" windowWidth="23256" windowHeight="12576" xr2:uid="{7AAB9621-6770-4C8F-9EC1-1773E70BE563}"/>
  </bookViews>
  <sheets>
    <sheet name="見出し" sheetId="1" r:id="rId1"/>
    <sheet name="例）工数管理_a" sheetId="57" r:id="rId2"/>
    <sheet name="例）工数管理_ｂ" sheetId="58" r:id="rId3"/>
    <sheet name="例）サマリーシート" sheetId="74" r:id="rId4"/>
  </sheets>
  <definedNames>
    <definedName name="_xlnm._FilterDatabase" localSheetId="1" hidden="1">'例）工数管理_a'!$A$7:$J$7</definedName>
    <definedName name="_xlnm._FilterDatabase" localSheetId="2" hidden="1">'例）工数管理_ｂ'!$A$7:$J$7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4" l="1"/>
  <c r="B4" i="74"/>
  <c r="C3" i="74"/>
  <c r="B3" i="74"/>
  <c r="E2" i="58"/>
  <c r="E4" i="74" s="1"/>
  <c r="C2" i="58"/>
  <c r="E5" i="58" s="1"/>
  <c r="E2" i="57"/>
  <c r="E3" i="74" s="1"/>
  <c r="C2" i="57"/>
  <c r="E5" i="57" s="1"/>
  <c r="E5" i="74" l="1"/>
  <c r="F4" i="74"/>
  <c r="G4" i="74"/>
  <c r="D4" i="74"/>
  <c r="G3" i="74"/>
  <c r="G5" i="74" s="1"/>
  <c r="F3" i="74"/>
  <c r="F5" i="74" s="1"/>
  <c r="D3" i="74"/>
  <c r="C3" i="58"/>
  <c r="E3" i="58"/>
  <c r="H4" i="74" s="1"/>
  <c r="C5" i="58"/>
  <c r="C3" i="57"/>
  <c r="E3" i="57"/>
  <c r="H3" i="74" s="1"/>
  <c r="C5" i="57"/>
  <c r="H5" i="74" l="1"/>
  <c r="D5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junpei</author>
  </authors>
  <commentList>
    <comment ref="A7" authorId="0" shapeId="0" xr:uid="{8F92B65E-D5B2-417C-83C5-7D3E3AA08E2E}">
      <text>
        <r>
          <rPr>
            <sz val="9"/>
            <color indexed="81"/>
            <rFont val="MS P ゴシック"/>
            <family val="3"/>
            <charset val="128"/>
          </rPr>
          <t>各作業項目を識別する一意な番号</t>
        </r>
      </text>
    </comment>
    <comment ref="B7" authorId="0" shapeId="0" xr:uid="{251113E2-A4BF-4D35-BACE-D33B0B4B0A5C}">
      <text>
        <r>
          <rPr>
            <sz val="9"/>
            <color indexed="81"/>
            <rFont val="MS P ゴシック"/>
            <family val="3"/>
            <charset val="128"/>
          </rPr>
          <t>作業内容を大まかに分類したカテゴリ</t>
        </r>
      </text>
    </comment>
    <comment ref="C7" authorId="0" shapeId="0" xr:uid="{A48BC807-657E-4DC9-963C-FF6C3D72F363}">
      <text>
        <r>
          <rPr>
            <sz val="9"/>
            <color indexed="81"/>
            <rFont val="MS P ゴシック"/>
            <family val="3"/>
            <charset val="128"/>
          </rPr>
          <t>大項目の中でさらに細かく分類したカテゴリ</t>
        </r>
      </text>
    </comment>
    <comment ref="D7" authorId="0" shapeId="0" xr:uid="{E2F4AA9D-8952-4BF9-8C9F-EC1EEBD46476}">
      <text>
        <r>
          <rPr>
            <sz val="9"/>
            <color indexed="81"/>
            <rFont val="MS P ゴシック"/>
            <family val="3"/>
            <charset val="128"/>
          </rPr>
          <t>具体的なタスクや作業内容</t>
        </r>
      </text>
    </comment>
    <comment ref="E7" authorId="0" shapeId="0" xr:uid="{34D55AF1-FB90-4D1D-A5B5-94AC447119FE}">
      <text>
        <r>
          <rPr>
            <sz val="9"/>
            <color indexed="81"/>
            <rFont val="MS P ゴシック"/>
            <family val="3"/>
            <charset val="128"/>
          </rPr>
          <t>タスクを担当するメンバー</t>
        </r>
      </text>
    </comment>
    <comment ref="F7" authorId="0" shapeId="0" xr:uid="{1C81EA17-789F-401D-83D7-000FE05518ED}">
      <text>
        <r>
          <rPr>
            <sz val="9"/>
            <color indexed="81"/>
            <rFont val="MS P ゴシック"/>
            <family val="3"/>
            <charset val="128"/>
          </rPr>
          <t>作業の優先度（最高/高/中/低/最低）</t>
        </r>
      </text>
    </comment>
    <comment ref="G7" authorId="0" shapeId="0" xr:uid="{2903B389-C015-40E8-AD5A-900BCF759ADB}">
      <text>
        <r>
          <rPr>
            <sz val="9"/>
            <color indexed="81"/>
            <rFont val="MS P ゴシック"/>
            <family val="3"/>
            <charset val="128"/>
          </rPr>
          <t>計画された作業時間（単位：時間）</t>
        </r>
      </text>
    </comment>
    <comment ref="H7" authorId="0" shapeId="0" xr:uid="{77B490EE-83D1-4BA7-B923-8633F8FD87A8}">
      <text>
        <r>
          <rPr>
            <sz val="9"/>
            <color indexed="81"/>
            <rFont val="MS P ゴシック"/>
            <family val="3"/>
            <charset val="128"/>
          </rPr>
          <t>実際にかかった作業時間（単位：時間）</t>
        </r>
      </text>
    </comment>
    <comment ref="I7" authorId="0" shapeId="0" xr:uid="{E8DB2378-C49E-4601-816E-AC1D501F019D}">
      <text>
        <r>
          <rPr>
            <sz val="9"/>
            <color indexed="81"/>
            <rFont val="MS P ゴシック"/>
            <family val="3"/>
            <charset val="128"/>
          </rPr>
          <t>タスクの進捗状況をパーセンテージで示す</t>
        </r>
      </text>
    </comment>
    <comment ref="J7" authorId="0" shapeId="0" xr:uid="{59F0F386-27A1-4034-AC2C-A3C94EBD35E8}">
      <text>
        <r>
          <rPr>
            <sz val="9"/>
            <color indexed="81"/>
            <rFont val="MS P ゴシック"/>
            <family val="3"/>
            <charset val="128"/>
          </rPr>
          <t>作業に関する補足情報や備考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junpei</author>
  </authors>
  <commentList>
    <comment ref="B2" authorId="0" shapeId="0" xr:uid="{FE40290F-CCF3-4A66-A66E-0107F92EF591}">
      <text>
        <r>
          <rPr>
            <sz val="9"/>
            <color indexed="81"/>
            <rFont val="MS P ゴシック"/>
            <family val="3"/>
            <charset val="128"/>
          </rPr>
          <t>計画した作業全体の見積もり時間の合計</t>
        </r>
      </text>
    </comment>
    <comment ref="D2" authorId="0" shapeId="0" xr:uid="{081D358F-168B-4BE4-8503-8A695FC77010}">
      <text>
        <r>
          <rPr>
            <sz val="9"/>
            <color indexed="81"/>
            <rFont val="MS P ゴシック"/>
            <family val="3"/>
            <charset val="128"/>
          </rPr>
          <t>実際にかかった作業時間の合計</t>
        </r>
      </text>
    </comment>
    <comment ref="B3" authorId="0" shapeId="0" xr:uid="{99DDC1F5-217E-4346-A8A6-26CDA4A84FFD}">
      <text>
        <r>
          <rPr>
            <sz val="9"/>
            <color indexed="81"/>
            <rFont val="MS P ゴシック"/>
            <family val="3"/>
            <charset val="128"/>
          </rPr>
          <t>見積もり工数と実績工数の差分</t>
        </r>
      </text>
    </comment>
    <comment ref="D3" authorId="0" shapeId="0" xr:uid="{83C8C60F-C70F-46FC-A61F-C406EE9AFF74}">
      <text>
        <r>
          <rPr>
            <sz val="9"/>
            <color indexed="81"/>
            <rFont val="MS P ゴシック"/>
            <family val="3"/>
            <charset val="128"/>
          </rPr>
          <t>実績工数を見積もり工数で割った進捗率</t>
        </r>
      </text>
    </comment>
    <comment ref="B4" authorId="0" shapeId="0" xr:uid="{F61163EF-7C27-42ED-81F0-CF021247F53F}">
      <text>
        <r>
          <rPr>
            <sz val="9"/>
            <color indexed="81"/>
            <rFont val="MS P ゴシック"/>
            <family val="3"/>
            <charset val="128"/>
          </rPr>
          <t>1ヶ月あたりの稼働日数（デフォルトは20日）</t>
        </r>
      </text>
    </comment>
    <comment ref="D4" authorId="0" shapeId="0" xr:uid="{A509A6DC-F767-4EAE-AE36-A89C8EEEFC63}">
      <text>
        <r>
          <rPr>
            <sz val="9"/>
            <color indexed="81"/>
            <rFont val="MS P ゴシック"/>
            <family val="3"/>
            <charset val="128"/>
          </rPr>
          <t>1日の稼働時間（デフォルトは8時間）</t>
        </r>
      </text>
    </comment>
    <comment ref="B5" authorId="0" shapeId="0" xr:uid="{FBC18C13-F087-43AE-8A4A-0B5A297A89CC}">
      <text>
        <r>
          <rPr>
            <sz val="9"/>
            <color indexed="81"/>
            <rFont val="MS P ゴシック"/>
            <family val="3"/>
            <charset val="128"/>
          </rPr>
          <t>見積もり工数を人月単位で換算した値</t>
        </r>
      </text>
    </comment>
    <comment ref="D5" authorId="0" shapeId="0" xr:uid="{D4374C16-62E3-41A4-86FC-3B7187F4F65B}">
      <text>
        <r>
          <rPr>
            <sz val="9"/>
            <color indexed="81"/>
            <rFont val="MS P ゴシック"/>
            <family val="3"/>
            <charset val="128"/>
          </rPr>
          <t>実績工数を人日単位で換算した値</t>
        </r>
      </text>
    </comment>
    <comment ref="A7" authorId="0" shapeId="0" xr:uid="{5A74336C-C543-4FC7-9A53-875E49B1E602}">
      <text>
        <r>
          <rPr>
            <sz val="9"/>
            <color indexed="81"/>
            <rFont val="MS P ゴシック"/>
            <family val="3"/>
            <charset val="128"/>
          </rPr>
          <t>各作業項目を識別する一意な番号</t>
        </r>
      </text>
    </comment>
    <comment ref="B7" authorId="0" shapeId="0" xr:uid="{CDA9E6E5-31D0-47A5-A54D-715418B842EA}">
      <text>
        <r>
          <rPr>
            <sz val="9"/>
            <color indexed="81"/>
            <rFont val="MS P ゴシック"/>
            <family val="3"/>
            <charset val="128"/>
          </rPr>
          <t>作業内容を大まかに分類したカテゴリ</t>
        </r>
      </text>
    </comment>
    <comment ref="C7" authorId="0" shapeId="0" xr:uid="{A3DF0F31-A45A-49A3-9400-344467D316F4}">
      <text>
        <r>
          <rPr>
            <sz val="9"/>
            <color indexed="81"/>
            <rFont val="MS P ゴシック"/>
            <family val="3"/>
            <charset val="128"/>
          </rPr>
          <t>大項目の中でさらに細かく分類したカテゴリ</t>
        </r>
      </text>
    </comment>
    <comment ref="D7" authorId="0" shapeId="0" xr:uid="{0EA6A5FF-5DCF-4DCE-B771-9D15A2703EC0}">
      <text>
        <r>
          <rPr>
            <sz val="9"/>
            <color indexed="81"/>
            <rFont val="MS P ゴシック"/>
            <family val="3"/>
            <charset val="128"/>
          </rPr>
          <t>具体的なタスクや作業内容</t>
        </r>
      </text>
    </comment>
    <comment ref="E7" authorId="0" shapeId="0" xr:uid="{A4615B1D-804D-4E99-9402-E483B97AEB95}">
      <text>
        <r>
          <rPr>
            <sz val="9"/>
            <color indexed="81"/>
            <rFont val="MS P ゴシック"/>
            <family val="3"/>
            <charset val="128"/>
          </rPr>
          <t>タスクを担当するメンバー</t>
        </r>
      </text>
    </comment>
    <comment ref="F7" authorId="0" shapeId="0" xr:uid="{A3113595-E94D-4FBB-9FBD-0CC0A02AE086}">
      <text>
        <r>
          <rPr>
            <sz val="9"/>
            <color indexed="81"/>
            <rFont val="MS P ゴシック"/>
            <family val="3"/>
            <charset val="128"/>
          </rPr>
          <t>作業の優先度（最高/高/中/低/最低）</t>
        </r>
      </text>
    </comment>
    <comment ref="G7" authorId="0" shapeId="0" xr:uid="{65ADAA0F-A41C-4F84-92DC-9EDF880C8B39}">
      <text>
        <r>
          <rPr>
            <sz val="9"/>
            <color indexed="81"/>
            <rFont val="MS P ゴシック"/>
            <family val="3"/>
            <charset val="128"/>
          </rPr>
          <t>計画された作業時間（単位：時間）</t>
        </r>
      </text>
    </comment>
    <comment ref="H7" authorId="0" shapeId="0" xr:uid="{A03955DF-ED85-4631-9C22-18D53992E253}">
      <text>
        <r>
          <rPr>
            <sz val="9"/>
            <color indexed="81"/>
            <rFont val="MS P ゴシック"/>
            <family val="3"/>
            <charset val="128"/>
          </rPr>
          <t>実際にかかった作業時間（単位：時間）</t>
        </r>
      </text>
    </comment>
    <comment ref="I7" authorId="0" shapeId="0" xr:uid="{3535D73A-DB14-4CB3-8C0B-6BC89A1EABBB}">
      <text>
        <r>
          <rPr>
            <sz val="9"/>
            <color indexed="81"/>
            <rFont val="MS P ゴシック"/>
            <family val="3"/>
            <charset val="128"/>
          </rPr>
          <t>タスクの進捗状況をパーセンテージで示す</t>
        </r>
      </text>
    </comment>
    <comment ref="J7" authorId="0" shapeId="0" xr:uid="{5A9565B8-7E11-4F96-BB5A-14D55874E265}">
      <text>
        <r>
          <rPr>
            <sz val="9"/>
            <color indexed="81"/>
            <rFont val="MS P ゴシック"/>
            <family val="3"/>
            <charset val="128"/>
          </rPr>
          <t>作業に関する補足情報や備考</t>
        </r>
      </text>
    </comment>
  </commentList>
</comments>
</file>

<file path=xl/sharedStrings.xml><?xml version="1.0" encoding="utf-8"?>
<sst xmlns="http://schemas.openxmlformats.org/spreadsheetml/2006/main" count="92" uniqueCount="60">
  <si>
    <t>担当者</t>
  </si>
  <si>
    <t>優先度</t>
  </si>
  <si>
    <t>見積もり工数(時間)</t>
  </si>
  <si>
    <t>実績工数(時間)</t>
  </si>
  <si>
    <t>進捗率(%)</t>
  </si>
  <si>
    <t>総見積もり工数(時間)</t>
  </si>
  <si>
    <t>総実績工数(時間)</t>
  </si>
  <si>
    <t>差分(時間)</t>
  </si>
  <si>
    <t>山田太郎</t>
  </si>
  <si>
    <t>大項目</t>
  </si>
  <si>
    <t>中項目</t>
  </si>
  <si>
    <t>小項目</t>
  </si>
  <si>
    <t>備考</t>
  </si>
  <si>
    <t>月の稼働日数</t>
  </si>
  <si>
    <t>一日稼働時間</t>
  </si>
  <si>
    <t>総工数(人月)</t>
  </si>
  <si>
    <t>システム設計</t>
  </si>
  <si>
    <t>基本設計</t>
  </si>
  <si>
    <t>画面設計</t>
  </si>
  <si>
    <t>注意事項なし</t>
  </si>
  <si>
    <t>総見積もり工数(時間):</t>
  </si>
  <si>
    <t>総実績工数(時間):</t>
  </si>
  <si>
    <t>差分(時間):</t>
  </si>
  <si>
    <t>進捗率(%):</t>
  </si>
  <si>
    <t>月の稼働日数:</t>
  </si>
  <si>
    <t>一日稼働時間:</t>
  </si>
  <si>
    <t>総工数(人月):</t>
  </si>
  <si>
    <t>総工数(人日):</t>
  </si>
  <si>
    <t>ID</t>
  </si>
  <si>
    <t>中</t>
  </si>
  <si>
    <t>工数管理_a</t>
  </si>
  <si>
    <t>工数管理_ｂ</t>
  </si>
  <si>
    <t>工数管理_サマリー</t>
  </si>
  <si>
    <t>項目</t>
  </si>
  <si>
    <t>一日稼働時間:</t>
    <phoneticPr fontId="1"/>
  </si>
  <si>
    <t>合計</t>
  </si>
  <si>
    <t>－</t>
  </si>
  <si>
    <t>■説明・使い方</t>
  </si>
  <si>
    <t>・「工数見積もり作成」ボタン</t>
  </si>
  <si>
    <t>　新しい工数管理シートをプロジェクトごとに作成します。</t>
  </si>
  <si>
    <t>　プロジェクト名を入力することで、自動的にその名前の工数管理シートが生成されます。</t>
  </si>
  <si>
    <t>　すべての工数管理シートを集計し、サマリーシートに表示します。</t>
  </si>
  <si>
    <t>　サマリーシートでは、各プロジェクトの工数データや進捗率を一目で確認できます。</t>
  </si>
  <si>
    <t>・シートの更新</t>
  </si>
  <si>
    <t>　工数管理シートを編集すると、次回のサマリー更新時にその内容が反映されます。</t>
  </si>
  <si>
    <t>■注意事項</t>
  </si>
  <si>
    <t>・シート名の変更禁止</t>
  </si>
  <si>
    <t>　工数管理シートの名前（例: 工数管理_a、工数管理_bなど）は変更しないでください。システムが正しく動作しなくなります。</t>
  </si>
  <si>
    <t>・入力データの形式</t>
  </si>
  <si>
    <t>　各工数管理シートでは、見積もり工数や実績工数などの数値を正確に入力してください。</t>
  </si>
  <si>
    <t>　特定の列には入力規則が設定されており、適切な形式で入力する必要があります。</t>
  </si>
  <si>
    <t>・サマリーシートの削除禁止</t>
  </si>
  <si>
    <t>　サマリーシートを削除すると、集計結果が見られなくなります。必要に応じて内容を更新してください。</t>
  </si>
  <si>
    <t>・Excelファイルの保存</t>
  </si>
  <si>
    <t>　作業内容を定期的に保存してください。予期せぬトラブルに備えるためです。</t>
  </si>
  <si>
    <t>・「サマリー作成」ボタン</t>
    <phoneticPr fontId="1"/>
  </si>
  <si>
    <t>・工数管理シートの追加後の注意</t>
  </si>
  <si>
    <t>　サマリーシート作成後に新たな工数管理シートを追加した場合、サマリーシートを再作成する必要があります。</t>
  </si>
  <si>
    <t>　「サマリー作成」ボタンを再度クリックしてください。</t>
  </si>
  <si>
    <t>詳細設計</t>
    <rPh sb="0" eb="2">
      <t>ショウサイ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</si>
</sst>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8"/>
      <color indexed="48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12"/>
      <color rgb="FFFFFFFF"/>
      <name val="游ゴシック"/>
      <family val="3"/>
      <charset val="128"/>
      <scheme val="minor"/>
    </font>
    <font>
      <b/>
      <sz val="18"/>
      <color indexed="10"/>
      <name val="游ゴシック"/>
      <family val="3"/>
      <charset val="128"/>
      <scheme val="minor"/>
    </font>
    <font>
      <b/>
      <sz val="18"/>
      <color rgb="FFFFFFFF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B4C8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0FAFF"/>
        <bgColor indexed="64"/>
      </patternFill>
    </fill>
    <fill>
      <patternFill patternType="solid">
        <fgColor rgb="FF0066C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8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Border="1">
      <alignment vertical="center"/>
    </xf>
    <xf numFmtId="9" fontId="0" fillId="7" borderId="1" xfId="0" applyNumberFormat="1" applyFill="1" applyBorder="1">
      <alignment vertical="center"/>
    </xf>
    <xf numFmtId="0" fontId="0" fillId="7" borderId="4" xfId="0" applyFill="1" applyBorder="1">
      <alignment vertical="center"/>
    </xf>
    <xf numFmtId="0" fontId="0" fillId="7" borderId="5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10" fontId="0" fillId="7" borderId="7" xfId="0" applyNumberFormat="1" applyFill="1" applyBorder="1">
      <alignment vertical="center"/>
    </xf>
    <xf numFmtId="0" fontId="7" fillId="3" borderId="0" xfId="0" applyFont="1" applyFill="1" applyAlignment="1">
      <alignment horizontal="center" vertical="center"/>
    </xf>
    <xf numFmtId="10" fontId="0" fillId="4" borderId="1" xfId="0" applyNumberFormat="1" applyFill="1" applyBorder="1">
      <alignment vertical="center"/>
    </xf>
    <xf numFmtId="0" fontId="0" fillId="8" borderId="1" xfId="0" applyFill="1" applyBorder="1">
      <alignment vertical="center"/>
    </xf>
    <xf numFmtId="10" fontId="0" fillId="8" borderId="1" xfId="0" applyNumberFormat="1" applyFill="1" applyBorder="1">
      <alignment vertical="center"/>
    </xf>
    <xf numFmtId="0" fontId="9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0" fontId="2" fillId="5" borderId="1" xfId="0" applyNumberFormat="1" applyFont="1" applyFill="1" applyBorder="1">
      <alignment vertical="center"/>
    </xf>
    <xf numFmtId="0" fontId="2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3366FF"/>
                  </a:solidFill>
                  <a:latin typeface="游ゴシック"/>
                  <a:ea typeface="游ゴシック"/>
                </a:rPr>
                <a:t>工数見積もり作成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7</xdr:row>
          <xdr:rowOff>205740</xdr:rowOff>
        </xdr:from>
        <xdr:to>
          <xdr:col>5</xdr:col>
          <xdr:colOff>22860</xdr:colOff>
          <xdr:row>12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サマリー作成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AFBA8-BA2C-4492-83A4-CF6C63B2C21A}">
  <sheetPr codeName="Sheet1"/>
  <dimension ref="G3:G31"/>
  <sheetViews>
    <sheetView tabSelected="1" zoomScale="85" zoomScaleNormal="85" workbookViewId="0">
      <selection activeCell="D23" sqref="D23"/>
    </sheetView>
  </sheetViews>
  <sheetFormatPr defaultRowHeight="18"/>
  <cols>
    <col min="1" max="16384" width="8.796875" style="1"/>
  </cols>
  <sheetData>
    <row r="3" spans="7:7">
      <c r="G3" s="27" t="s">
        <v>37</v>
      </c>
    </row>
    <row r="4" spans="7:7">
      <c r="G4" s="1" t="s">
        <v>38</v>
      </c>
    </row>
    <row r="5" spans="7:7">
      <c r="G5" s="1" t="s">
        <v>39</v>
      </c>
    </row>
    <row r="6" spans="7:7">
      <c r="G6" s="1" t="s">
        <v>40</v>
      </c>
    </row>
    <row r="8" spans="7:7">
      <c r="G8" s="1" t="s">
        <v>55</v>
      </c>
    </row>
    <row r="9" spans="7:7">
      <c r="G9" s="1" t="s">
        <v>41</v>
      </c>
    </row>
    <row r="10" spans="7:7">
      <c r="G10" s="1" t="s">
        <v>42</v>
      </c>
    </row>
    <row r="12" spans="7:7">
      <c r="G12" s="1" t="s">
        <v>43</v>
      </c>
    </row>
    <row r="13" spans="7:7">
      <c r="G13" s="1" t="s">
        <v>44</v>
      </c>
    </row>
    <row r="15" spans="7:7">
      <c r="G15" s="27" t="s">
        <v>45</v>
      </c>
    </row>
    <row r="16" spans="7:7">
      <c r="G16" s="1" t="s">
        <v>46</v>
      </c>
    </row>
    <row r="17" spans="7:7">
      <c r="G17" s="1" t="s">
        <v>47</v>
      </c>
    </row>
    <row r="19" spans="7:7">
      <c r="G19" s="1" t="s">
        <v>48</v>
      </c>
    </row>
    <row r="20" spans="7:7">
      <c r="G20" s="1" t="s">
        <v>49</v>
      </c>
    </row>
    <row r="21" spans="7:7">
      <c r="G21" s="1" t="s">
        <v>50</v>
      </c>
    </row>
    <row r="23" spans="7:7">
      <c r="G23" s="1" t="s">
        <v>51</v>
      </c>
    </row>
    <row r="24" spans="7:7">
      <c r="G24" s="1" t="s">
        <v>52</v>
      </c>
    </row>
    <row r="26" spans="7:7">
      <c r="G26" s="1" t="s">
        <v>53</v>
      </c>
    </row>
    <row r="27" spans="7:7">
      <c r="G27" s="1" t="s">
        <v>54</v>
      </c>
    </row>
    <row r="29" spans="7:7">
      <c r="G29" s="1" t="s">
        <v>56</v>
      </c>
    </row>
    <row r="30" spans="7:7">
      <c r="G30" s="1" t="s">
        <v>57</v>
      </c>
    </row>
    <row r="31" spans="7:7">
      <c r="G31" s="1" t="s">
        <v>58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EffortEstimationSheet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SummarySheetWithRearrangedColumns">
                <anchor moveWithCells="1" sizeWithCells="1">
                  <from>
                    <xdr:col>1</xdr:col>
                    <xdr:colOff>45720</xdr:colOff>
                    <xdr:row>7</xdr:row>
                    <xdr:rowOff>205740</xdr:rowOff>
                  </from>
                  <to>
                    <xdr:col>5</xdr:col>
                    <xdr:colOff>22860</xdr:colOff>
                    <xdr:row>12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F754A-ED19-467C-A9E9-68DE537F2D88}">
  <sheetPr codeName="Sheet57">
    <tabColor theme="5" tint="0.79998168889431442"/>
  </sheetPr>
  <dimension ref="A1:J107"/>
  <sheetViews>
    <sheetView zoomScale="85" zoomScaleNormal="85" workbookViewId="0">
      <pane ySplit="7" topLeftCell="A8" activePane="bottomLeft" state="frozen"/>
      <selection activeCell="G13" sqref="G13"/>
      <selection pane="bottomLeft" activeCell="G13" sqref="G13"/>
    </sheetView>
  </sheetViews>
  <sheetFormatPr defaultRowHeight="18"/>
  <cols>
    <col min="1" max="1" width="7.296875" customWidth="1"/>
    <col min="2" max="2" width="21.5" bestFit="1" customWidth="1"/>
    <col min="3" max="3" width="12.296875" bestFit="1" customWidth="1"/>
    <col min="4" max="4" width="17.3984375" bestFit="1" customWidth="1"/>
    <col min="5" max="6" width="12.296875" bestFit="1" customWidth="1"/>
    <col min="7" max="7" width="24.796875" bestFit="1" customWidth="1"/>
    <col min="8" max="8" width="20.5" bestFit="1" customWidth="1"/>
    <col min="9" max="9" width="15.59765625" bestFit="1" customWidth="1"/>
    <col min="10" max="10" width="13.19921875" bestFit="1" customWidth="1"/>
  </cols>
  <sheetData>
    <row r="1" spans="1:10" ht="27" thickBot="1">
      <c r="A1" s="2" t="s">
        <v>30</v>
      </c>
    </row>
    <row r="2" spans="1:10">
      <c r="B2" s="5" t="s">
        <v>20</v>
      </c>
      <c r="C2" s="14">
        <f>SUM(G8:G107)</f>
        <v>25</v>
      </c>
      <c r="D2" s="8" t="s">
        <v>21</v>
      </c>
      <c r="E2" s="15">
        <f>SUM(H8:H107)</f>
        <v>10</v>
      </c>
    </row>
    <row r="3" spans="1:10">
      <c r="B3" s="6" t="s">
        <v>22</v>
      </c>
      <c r="C3" s="11">
        <f>C2-E2</f>
        <v>15</v>
      </c>
      <c r="D3" s="9" t="s">
        <v>23</v>
      </c>
      <c r="E3" s="19">
        <f>IF(C2&gt;0, E2/C2, 0)</f>
        <v>0.4</v>
      </c>
    </row>
    <row r="4" spans="1:10">
      <c r="B4" s="6" t="s">
        <v>24</v>
      </c>
      <c r="C4" s="11">
        <v>20</v>
      </c>
      <c r="D4" s="9" t="s">
        <v>25</v>
      </c>
      <c r="E4" s="16">
        <v>8</v>
      </c>
    </row>
    <row r="5" spans="1:10" ht="18.600000000000001" thickBot="1">
      <c r="B5" s="7" t="s">
        <v>26</v>
      </c>
      <c r="C5" s="17">
        <f>IF(AND(C4&gt;0, E4&gt;0), C2/(C4*E4), 0)</f>
        <v>0.15625</v>
      </c>
      <c r="D5" s="10" t="s">
        <v>27</v>
      </c>
      <c r="E5" s="18">
        <f>IF(E4&gt;0, C2/E4, 0)</f>
        <v>3.125</v>
      </c>
    </row>
    <row r="7" spans="1:10" ht="55.05" customHeight="1">
      <c r="A7" s="20" t="s">
        <v>28</v>
      </c>
      <c r="B7" s="20" t="s">
        <v>9</v>
      </c>
      <c r="C7" s="20" t="s">
        <v>10</v>
      </c>
      <c r="D7" s="20" t="s">
        <v>11</v>
      </c>
      <c r="E7" s="20" t="s">
        <v>0</v>
      </c>
      <c r="F7" s="20" t="s">
        <v>1</v>
      </c>
      <c r="G7" s="20" t="s">
        <v>2</v>
      </c>
      <c r="H7" s="20" t="s">
        <v>3</v>
      </c>
      <c r="I7" s="20" t="s">
        <v>4</v>
      </c>
      <c r="J7" s="20" t="s">
        <v>12</v>
      </c>
    </row>
    <row r="8" spans="1:10">
      <c r="A8" s="11">
        <v>1</v>
      </c>
      <c r="B8" s="11" t="s">
        <v>16</v>
      </c>
      <c r="C8" s="11" t="s">
        <v>17</v>
      </c>
      <c r="D8" s="11" t="s">
        <v>18</v>
      </c>
      <c r="E8" s="11" t="s">
        <v>8</v>
      </c>
      <c r="F8" s="11" t="s">
        <v>29</v>
      </c>
      <c r="G8" s="11">
        <v>25</v>
      </c>
      <c r="H8" s="11">
        <v>10</v>
      </c>
      <c r="I8" s="13">
        <v>0.5</v>
      </c>
      <c r="J8" s="11" t="s">
        <v>19</v>
      </c>
    </row>
    <row r="9" spans="1:10">
      <c r="A9" s="12">
        <v>2</v>
      </c>
      <c r="B9" s="11"/>
      <c r="C9" s="11"/>
      <c r="D9" s="11"/>
      <c r="E9" s="11"/>
      <c r="F9" s="11"/>
      <c r="G9" s="11"/>
      <c r="H9" s="11"/>
      <c r="I9" s="13"/>
      <c r="J9" s="11"/>
    </row>
    <row r="10" spans="1:10">
      <c r="A10" s="11">
        <v>3</v>
      </c>
      <c r="B10" s="11"/>
      <c r="C10" s="11"/>
      <c r="D10" s="11"/>
      <c r="E10" s="11"/>
      <c r="F10" s="11"/>
      <c r="G10" s="11"/>
      <c r="H10" s="11"/>
      <c r="I10" s="13"/>
      <c r="J10" s="11"/>
    </row>
    <row r="11" spans="1:10">
      <c r="A11" s="12">
        <v>4</v>
      </c>
      <c r="B11" s="11"/>
      <c r="C11" s="11"/>
      <c r="D11" s="11"/>
      <c r="E11" s="11"/>
      <c r="F11" s="11"/>
      <c r="G11" s="11"/>
      <c r="H11" s="11"/>
      <c r="I11" s="13"/>
      <c r="J11" s="11"/>
    </row>
    <row r="12" spans="1:10">
      <c r="A12" s="11">
        <v>5</v>
      </c>
      <c r="B12" s="11"/>
      <c r="C12" s="11"/>
      <c r="D12" s="11"/>
      <c r="E12" s="11"/>
      <c r="F12" s="11"/>
      <c r="G12" s="11"/>
      <c r="H12" s="11"/>
      <c r="I12" s="13"/>
      <c r="J12" s="11"/>
    </row>
    <row r="13" spans="1:10">
      <c r="A13" s="12">
        <v>6</v>
      </c>
      <c r="B13" s="11"/>
      <c r="C13" s="11"/>
      <c r="D13" s="11"/>
      <c r="E13" s="11"/>
      <c r="F13" s="11"/>
      <c r="G13" s="11"/>
      <c r="H13" s="11"/>
      <c r="I13" s="13"/>
      <c r="J13" s="11"/>
    </row>
    <row r="14" spans="1:10">
      <c r="A14" s="11">
        <v>7</v>
      </c>
      <c r="B14" s="11"/>
      <c r="C14" s="11"/>
      <c r="D14" s="11"/>
      <c r="E14" s="11"/>
      <c r="F14" s="11"/>
      <c r="G14" s="11"/>
      <c r="H14" s="11"/>
      <c r="I14" s="13"/>
      <c r="J14" s="11"/>
    </row>
    <row r="15" spans="1:10">
      <c r="A15" s="12">
        <v>8</v>
      </c>
      <c r="B15" s="11"/>
      <c r="C15" s="11"/>
      <c r="D15" s="11"/>
      <c r="E15" s="11"/>
      <c r="F15" s="11"/>
      <c r="G15" s="11"/>
      <c r="H15" s="11"/>
      <c r="I15" s="13"/>
      <c r="J15" s="11"/>
    </row>
    <row r="16" spans="1:10">
      <c r="A16" s="11">
        <v>9</v>
      </c>
      <c r="B16" s="11"/>
      <c r="C16" s="11"/>
      <c r="D16" s="11"/>
      <c r="E16" s="11"/>
      <c r="F16" s="11"/>
      <c r="G16" s="11"/>
      <c r="H16" s="11"/>
      <c r="I16" s="11"/>
      <c r="J16" s="11"/>
    </row>
    <row r="17" spans="1:10">
      <c r="A17" s="12">
        <v>10</v>
      </c>
      <c r="B17" s="12"/>
      <c r="C17" s="12"/>
      <c r="D17" s="12"/>
      <c r="E17" s="12"/>
      <c r="F17" s="12"/>
      <c r="G17" s="12"/>
      <c r="H17" s="12"/>
      <c r="I17" s="12"/>
      <c r="J17" s="12"/>
    </row>
    <row r="18" spans="1:10">
      <c r="A18" s="11">
        <v>11</v>
      </c>
      <c r="B18" s="11"/>
      <c r="C18" s="11"/>
      <c r="D18" s="11"/>
      <c r="E18" s="11"/>
      <c r="F18" s="11"/>
      <c r="G18" s="11"/>
      <c r="H18" s="11"/>
      <c r="I18" s="11"/>
      <c r="J18" s="11"/>
    </row>
    <row r="19" spans="1:10">
      <c r="A19" s="12">
        <v>12</v>
      </c>
      <c r="B19" s="12"/>
      <c r="C19" s="12"/>
      <c r="D19" s="12"/>
      <c r="E19" s="12"/>
      <c r="F19" s="12"/>
      <c r="G19" s="12"/>
      <c r="H19" s="12"/>
      <c r="I19" s="12"/>
      <c r="J19" s="12"/>
    </row>
    <row r="20" spans="1:10">
      <c r="A20" s="11">
        <v>13</v>
      </c>
      <c r="B20" s="11"/>
      <c r="C20" s="11"/>
      <c r="D20" s="11"/>
      <c r="E20" s="11"/>
      <c r="F20" s="11"/>
      <c r="G20" s="11"/>
      <c r="H20" s="11"/>
      <c r="I20" s="11"/>
      <c r="J20" s="11"/>
    </row>
    <row r="21" spans="1:10">
      <c r="A21" s="12">
        <v>14</v>
      </c>
      <c r="B21" s="12"/>
      <c r="C21" s="12"/>
      <c r="D21" s="12"/>
      <c r="E21" s="12"/>
      <c r="F21" s="12"/>
      <c r="G21" s="12"/>
      <c r="H21" s="12"/>
      <c r="I21" s="12"/>
      <c r="J21" s="12"/>
    </row>
    <row r="22" spans="1:10">
      <c r="A22" s="11">
        <v>15</v>
      </c>
      <c r="B22" s="11"/>
      <c r="C22" s="11"/>
      <c r="D22" s="11"/>
      <c r="E22" s="11"/>
      <c r="F22" s="11"/>
      <c r="G22" s="11"/>
      <c r="H22" s="11"/>
      <c r="I22" s="11"/>
      <c r="J22" s="11"/>
    </row>
    <row r="23" spans="1:10">
      <c r="A23" s="12">
        <v>16</v>
      </c>
      <c r="B23" s="12"/>
      <c r="C23" s="12"/>
      <c r="D23" s="12"/>
      <c r="E23" s="12"/>
      <c r="F23" s="12"/>
      <c r="G23" s="12"/>
      <c r="H23" s="12"/>
      <c r="I23" s="12"/>
      <c r="J23" s="12"/>
    </row>
    <row r="24" spans="1:10">
      <c r="A24" s="11">
        <v>17</v>
      </c>
      <c r="B24" s="11"/>
      <c r="C24" s="11"/>
      <c r="D24" s="11"/>
      <c r="E24" s="11"/>
      <c r="F24" s="11"/>
      <c r="G24" s="11"/>
      <c r="H24" s="11"/>
      <c r="I24" s="11"/>
      <c r="J24" s="11"/>
    </row>
    <row r="25" spans="1:10">
      <c r="A25" s="12">
        <v>18</v>
      </c>
      <c r="B25" s="12"/>
      <c r="C25" s="12"/>
      <c r="D25" s="12"/>
      <c r="E25" s="12"/>
      <c r="F25" s="12"/>
      <c r="G25" s="12"/>
      <c r="H25" s="12"/>
      <c r="I25" s="12"/>
      <c r="J25" s="12"/>
    </row>
    <row r="26" spans="1:10">
      <c r="A26" s="11">
        <v>19</v>
      </c>
      <c r="B26" s="11"/>
      <c r="C26" s="11"/>
      <c r="D26" s="11"/>
      <c r="E26" s="11"/>
      <c r="F26" s="11"/>
      <c r="G26" s="11"/>
      <c r="H26" s="11"/>
      <c r="I26" s="11"/>
      <c r="J26" s="11"/>
    </row>
    <row r="27" spans="1:10">
      <c r="A27" s="12">
        <v>20</v>
      </c>
      <c r="B27" s="12"/>
      <c r="C27" s="12"/>
      <c r="D27" s="12"/>
      <c r="E27" s="12"/>
      <c r="F27" s="12"/>
      <c r="G27" s="12"/>
      <c r="H27" s="12"/>
      <c r="I27" s="12"/>
      <c r="J27" s="12"/>
    </row>
    <row r="28" spans="1:10">
      <c r="A28" s="11">
        <v>21</v>
      </c>
      <c r="B28" s="11"/>
      <c r="C28" s="11"/>
      <c r="D28" s="11"/>
      <c r="E28" s="11"/>
      <c r="F28" s="11"/>
      <c r="G28" s="11"/>
      <c r="H28" s="11"/>
      <c r="I28" s="11"/>
      <c r="J28" s="11"/>
    </row>
    <row r="29" spans="1:10">
      <c r="A29" s="12">
        <v>22</v>
      </c>
      <c r="B29" s="12"/>
      <c r="C29" s="12"/>
      <c r="D29" s="12"/>
      <c r="E29" s="12"/>
      <c r="F29" s="12"/>
      <c r="G29" s="12"/>
      <c r="H29" s="12"/>
      <c r="I29" s="12"/>
      <c r="J29" s="12"/>
    </row>
    <row r="30" spans="1:10">
      <c r="A30" s="11">
        <v>23</v>
      </c>
      <c r="B30" s="11"/>
      <c r="C30" s="11"/>
      <c r="D30" s="11"/>
      <c r="E30" s="11"/>
      <c r="F30" s="11"/>
      <c r="G30" s="11"/>
      <c r="H30" s="11"/>
      <c r="I30" s="11"/>
      <c r="J30" s="11"/>
    </row>
    <row r="31" spans="1:10">
      <c r="A31" s="12">
        <v>24</v>
      </c>
      <c r="B31" s="12"/>
      <c r="C31" s="12"/>
      <c r="D31" s="12"/>
      <c r="E31" s="12"/>
      <c r="F31" s="12"/>
      <c r="G31" s="12"/>
      <c r="H31" s="12"/>
      <c r="I31" s="12"/>
      <c r="J31" s="12"/>
    </row>
    <row r="32" spans="1:10">
      <c r="A32" s="11">
        <v>25</v>
      </c>
      <c r="B32" s="11"/>
      <c r="C32" s="11"/>
      <c r="D32" s="11"/>
      <c r="E32" s="11"/>
      <c r="F32" s="11"/>
      <c r="G32" s="11"/>
      <c r="H32" s="11"/>
      <c r="I32" s="11"/>
      <c r="J32" s="11"/>
    </row>
    <row r="33" spans="1:10">
      <c r="A33" s="12">
        <v>26</v>
      </c>
      <c r="B33" s="12"/>
      <c r="C33" s="12"/>
      <c r="D33" s="12"/>
      <c r="E33" s="12"/>
      <c r="F33" s="12"/>
      <c r="G33" s="12"/>
      <c r="H33" s="12"/>
      <c r="I33" s="12"/>
      <c r="J33" s="12"/>
    </row>
    <row r="34" spans="1:10">
      <c r="A34" s="11">
        <v>27</v>
      </c>
      <c r="B34" s="11"/>
      <c r="C34" s="11"/>
      <c r="D34" s="11"/>
      <c r="E34" s="11"/>
      <c r="F34" s="11"/>
      <c r="G34" s="11"/>
      <c r="H34" s="11"/>
      <c r="I34" s="11"/>
      <c r="J34" s="11"/>
    </row>
    <row r="35" spans="1:10">
      <c r="A35" s="12">
        <v>28</v>
      </c>
      <c r="B35" s="12"/>
      <c r="C35" s="12"/>
      <c r="D35" s="12"/>
      <c r="E35" s="12"/>
      <c r="F35" s="12"/>
      <c r="G35" s="12"/>
      <c r="H35" s="12"/>
      <c r="I35" s="12"/>
      <c r="J35" s="12"/>
    </row>
    <row r="36" spans="1:10">
      <c r="A36" s="11">
        <v>29</v>
      </c>
      <c r="B36" s="11"/>
      <c r="C36" s="11"/>
      <c r="D36" s="11"/>
      <c r="E36" s="11"/>
      <c r="F36" s="11"/>
      <c r="G36" s="11"/>
      <c r="H36" s="11"/>
      <c r="I36" s="11"/>
      <c r="J36" s="11"/>
    </row>
    <row r="37" spans="1:10">
      <c r="A37" s="12">
        <v>30</v>
      </c>
      <c r="B37" s="12"/>
      <c r="C37" s="12"/>
      <c r="D37" s="12"/>
      <c r="E37" s="12"/>
      <c r="F37" s="12"/>
      <c r="G37" s="12"/>
      <c r="H37" s="12"/>
      <c r="I37" s="12"/>
      <c r="J37" s="12"/>
    </row>
    <row r="38" spans="1:10">
      <c r="A38" s="11">
        <v>31</v>
      </c>
      <c r="B38" s="11"/>
      <c r="C38" s="11"/>
      <c r="D38" s="11"/>
      <c r="E38" s="11"/>
      <c r="F38" s="11"/>
      <c r="G38" s="11"/>
      <c r="H38" s="11"/>
      <c r="I38" s="11"/>
      <c r="J38" s="11"/>
    </row>
    <row r="39" spans="1:10">
      <c r="A39" s="12">
        <v>32</v>
      </c>
      <c r="B39" s="12"/>
      <c r="C39" s="12"/>
      <c r="D39" s="12"/>
      <c r="E39" s="12"/>
      <c r="F39" s="12"/>
      <c r="G39" s="12"/>
      <c r="H39" s="12"/>
      <c r="I39" s="12"/>
      <c r="J39" s="12"/>
    </row>
    <row r="40" spans="1:10">
      <c r="A40" s="11">
        <v>33</v>
      </c>
      <c r="B40" s="11"/>
      <c r="C40" s="11"/>
      <c r="D40" s="11"/>
      <c r="E40" s="11"/>
      <c r="F40" s="11"/>
      <c r="G40" s="11"/>
      <c r="H40" s="11"/>
      <c r="I40" s="11"/>
      <c r="J40" s="11"/>
    </row>
    <row r="41" spans="1:10">
      <c r="A41" s="12">
        <v>34</v>
      </c>
      <c r="B41" s="12"/>
      <c r="C41" s="12"/>
      <c r="D41" s="12"/>
      <c r="E41" s="12"/>
      <c r="F41" s="12"/>
      <c r="G41" s="12"/>
      <c r="H41" s="12"/>
      <c r="I41" s="12"/>
      <c r="J41" s="12"/>
    </row>
    <row r="42" spans="1:10">
      <c r="A42" s="11">
        <v>35</v>
      </c>
      <c r="B42" s="11"/>
      <c r="C42" s="11"/>
      <c r="D42" s="11"/>
      <c r="E42" s="11"/>
      <c r="F42" s="11"/>
      <c r="G42" s="11"/>
      <c r="H42" s="11"/>
      <c r="I42" s="11"/>
      <c r="J42" s="11"/>
    </row>
    <row r="43" spans="1:10">
      <c r="A43" s="12">
        <v>36</v>
      </c>
      <c r="B43" s="12"/>
      <c r="C43" s="12"/>
      <c r="D43" s="12"/>
      <c r="E43" s="12"/>
      <c r="F43" s="12"/>
      <c r="G43" s="12"/>
      <c r="H43" s="12"/>
      <c r="I43" s="12"/>
      <c r="J43" s="12"/>
    </row>
    <row r="44" spans="1:10">
      <c r="A44" s="11">
        <v>37</v>
      </c>
      <c r="B44" s="11"/>
      <c r="C44" s="11"/>
      <c r="D44" s="11"/>
      <c r="E44" s="11"/>
      <c r="F44" s="11"/>
      <c r="G44" s="11"/>
      <c r="H44" s="11"/>
      <c r="I44" s="11"/>
      <c r="J44" s="11"/>
    </row>
    <row r="45" spans="1:10">
      <c r="A45" s="12">
        <v>38</v>
      </c>
      <c r="B45" s="12"/>
      <c r="C45" s="12"/>
      <c r="D45" s="12"/>
      <c r="E45" s="12"/>
      <c r="F45" s="12"/>
      <c r="G45" s="12"/>
      <c r="H45" s="12"/>
      <c r="I45" s="12"/>
      <c r="J45" s="12"/>
    </row>
    <row r="46" spans="1:10">
      <c r="A46" s="11">
        <v>39</v>
      </c>
      <c r="B46" s="11"/>
      <c r="C46" s="11"/>
      <c r="D46" s="11"/>
      <c r="E46" s="11"/>
      <c r="F46" s="11"/>
      <c r="G46" s="11"/>
      <c r="H46" s="11"/>
      <c r="I46" s="11"/>
      <c r="J46" s="11"/>
    </row>
    <row r="47" spans="1:10">
      <c r="A47" s="12">
        <v>40</v>
      </c>
      <c r="B47" s="12"/>
      <c r="C47" s="12"/>
      <c r="D47" s="12"/>
      <c r="E47" s="12"/>
      <c r="F47" s="12"/>
      <c r="G47" s="12"/>
      <c r="H47" s="12"/>
      <c r="I47" s="12"/>
      <c r="J47" s="12"/>
    </row>
    <row r="48" spans="1:10">
      <c r="A48" s="11">
        <v>41</v>
      </c>
      <c r="B48" s="11"/>
      <c r="C48" s="11"/>
      <c r="D48" s="11"/>
      <c r="E48" s="11"/>
      <c r="F48" s="11"/>
      <c r="G48" s="11"/>
      <c r="H48" s="11"/>
      <c r="I48" s="11"/>
      <c r="J48" s="11"/>
    </row>
    <row r="49" spans="1:10">
      <c r="A49" s="12">
        <v>42</v>
      </c>
      <c r="B49" s="12"/>
      <c r="C49" s="12"/>
      <c r="D49" s="12"/>
      <c r="E49" s="12"/>
      <c r="F49" s="12"/>
      <c r="G49" s="12"/>
      <c r="H49" s="12"/>
      <c r="I49" s="12"/>
      <c r="J49" s="12"/>
    </row>
    <row r="50" spans="1:10">
      <c r="A50" s="11">
        <v>43</v>
      </c>
      <c r="B50" s="11"/>
      <c r="C50" s="11"/>
      <c r="D50" s="11"/>
      <c r="E50" s="11"/>
      <c r="F50" s="11"/>
      <c r="G50" s="11"/>
      <c r="H50" s="11"/>
      <c r="I50" s="11"/>
      <c r="J50" s="11"/>
    </row>
    <row r="51" spans="1:10">
      <c r="A51" s="12">
        <v>44</v>
      </c>
      <c r="B51" s="12"/>
      <c r="C51" s="12"/>
      <c r="D51" s="12"/>
      <c r="E51" s="12"/>
      <c r="F51" s="12"/>
      <c r="G51" s="12"/>
      <c r="H51" s="12"/>
      <c r="I51" s="12"/>
      <c r="J51" s="12"/>
    </row>
    <row r="52" spans="1:10">
      <c r="A52" s="11">
        <v>45</v>
      </c>
      <c r="B52" s="11"/>
      <c r="C52" s="11"/>
      <c r="D52" s="11"/>
      <c r="E52" s="11"/>
      <c r="F52" s="11"/>
      <c r="G52" s="11"/>
      <c r="H52" s="11"/>
      <c r="I52" s="11"/>
      <c r="J52" s="11"/>
    </row>
    <row r="53" spans="1:10">
      <c r="A53" s="12">
        <v>46</v>
      </c>
      <c r="B53" s="12"/>
      <c r="C53" s="12"/>
      <c r="D53" s="12"/>
      <c r="E53" s="12"/>
      <c r="F53" s="12"/>
      <c r="G53" s="12"/>
      <c r="H53" s="12"/>
      <c r="I53" s="12"/>
      <c r="J53" s="12"/>
    </row>
    <row r="54" spans="1:10">
      <c r="A54" s="11">
        <v>47</v>
      </c>
      <c r="B54" s="11"/>
      <c r="C54" s="11"/>
      <c r="D54" s="11"/>
      <c r="E54" s="11"/>
      <c r="F54" s="11"/>
      <c r="G54" s="11"/>
      <c r="H54" s="11"/>
      <c r="I54" s="11"/>
      <c r="J54" s="11"/>
    </row>
    <row r="55" spans="1:10">
      <c r="A55" s="12">
        <v>48</v>
      </c>
      <c r="B55" s="12"/>
      <c r="C55" s="12"/>
      <c r="D55" s="12"/>
      <c r="E55" s="12"/>
      <c r="F55" s="12"/>
      <c r="G55" s="12"/>
      <c r="H55" s="12"/>
      <c r="I55" s="12"/>
      <c r="J55" s="12"/>
    </row>
    <row r="56" spans="1:10">
      <c r="A56" s="11">
        <v>49</v>
      </c>
      <c r="B56" s="11"/>
      <c r="C56" s="11"/>
      <c r="D56" s="11"/>
      <c r="E56" s="11"/>
      <c r="F56" s="11"/>
      <c r="G56" s="11"/>
      <c r="H56" s="11"/>
      <c r="I56" s="11"/>
      <c r="J56" s="11"/>
    </row>
    <row r="57" spans="1:10">
      <c r="A57" s="12">
        <v>50</v>
      </c>
      <c r="B57" s="12"/>
      <c r="C57" s="12"/>
      <c r="D57" s="12"/>
      <c r="E57" s="12"/>
      <c r="F57" s="12"/>
      <c r="G57" s="12"/>
      <c r="H57" s="12"/>
      <c r="I57" s="12"/>
      <c r="J57" s="12"/>
    </row>
    <row r="58" spans="1:10">
      <c r="A58" s="11">
        <v>51</v>
      </c>
      <c r="B58" s="11"/>
      <c r="C58" s="11"/>
      <c r="D58" s="11"/>
      <c r="E58" s="11"/>
      <c r="F58" s="11"/>
      <c r="G58" s="11"/>
      <c r="H58" s="11"/>
      <c r="I58" s="11"/>
      <c r="J58" s="11"/>
    </row>
    <row r="59" spans="1:10">
      <c r="A59" s="12">
        <v>52</v>
      </c>
      <c r="B59" s="12"/>
      <c r="C59" s="12"/>
      <c r="D59" s="12"/>
      <c r="E59" s="12"/>
      <c r="F59" s="12"/>
      <c r="G59" s="12"/>
      <c r="H59" s="12"/>
      <c r="I59" s="12"/>
      <c r="J59" s="12"/>
    </row>
    <row r="60" spans="1:10">
      <c r="A60" s="11">
        <v>53</v>
      </c>
      <c r="B60" s="11"/>
      <c r="C60" s="11"/>
      <c r="D60" s="11"/>
      <c r="E60" s="11"/>
      <c r="F60" s="11"/>
      <c r="G60" s="11"/>
      <c r="H60" s="11"/>
      <c r="I60" s="11"/>
      <c r="J60" s="11"/>
    </row>
    <row r="61" spans="1:10">
      <c r="A61" s="12">
        <v>54</v>
      </c>
      <c r="B61" s="12"/>
      <c r="C61" s="12"/>
      <c r="D61" s="12"/>
      <c r="E61" s="12"/>
      <c r="F61" s="12"/>
      <c r="G61" s="12"/>
      <c r="H61" s="12"/>
      <c r="I61" s="12"/>
      <c r="J61" s="12"/>
    </row>
    <row r="62" spans="1:10">
      <c r="A62" s="11">
        <v>55</v>
      </c>
      <c r="B62" s="11"/>
      <c r="C62" s="11"/>
      <c r="D62" s="11"/>
      <c r="E62" s="11"/>
      <c r="F62" s="11"/>
      <c r="G62" s="11"/>
      <c r="H62" s="11"/>
      <c r="I62" s="11"/>
      <c r="J62" s="11"/>
    </row>
    <row r="63" spans="1:10">
      <c r="A63" s="12">
        <v>56</v>
      </c>
      <c r="B63" s="12"/>
      <c r="C63" s="12"/>
      <c r="D63" s="12"/>
      <c r="E63" s="12"/>
      <c r="F63" s="12"/>
      <c r="G63" s="12"/>
      <c r="H63" s="12"/>
      <c r="I63" s="12"/>
      <c r="J63" s="12"/>
    </row>
    <row r="64" spans="1:10">
      <c r="A64" s="11">
        <v>57</v>
      </c>
      <c r="B64" s="11"/>
      <c r="C64" s="11"/>
      <c r="D64" s="11"/>
      <c r="E64" s="11"/>
      <c r="F64" s="11"/>
      <c r="G64" s="11"/>
      <c r="H64" s="11"/>
      <c r="I64" s="11"/>
      <c r="J64" s="11"/>
    </row>
    <row r="65" spans="1:10">
      <c r="A65" s="12">
        <v>58</v>
      </c>
      <c r="B65" s="12"/>
      <c r="C65" s="12"/>
      <c r="D65" s="12"/>
      <c r="E65" s="12"/>
      <c r="F65" s="12"/>
      <c r="G65" s="12"/>
      <c r="H65" s="12"/>
      <c r="I65" s="12"/>
      <c r="J65" s="12"/>
    </row>
    <row r="66" spans="1:10">
      <c r="A66" s="11">
        <v>59</v>
      </c>
      <c r="B66" s="11"/>
      <c r="C66" s="11"/>
      <c r="D66" s="11"/>
      <c r="E66" s="11"/>
      <c r="F66" s="11"/>
      <c r="G66" s="11"/>
      <c r="H66" s="11"/>
      <c r="I66" s="11"/>
      <c r="J66" s="11"/>
    </row>
    <row r="67" spans="1:10">
      <c r="A67" s="12">
        <v>60</v>
      </c>
      <c r="B67" s="12"/>
      <c r="C67" s="12"/>
      <c r="D67" s="12"/>
      <c r="E67" s="12"/>
      <c r="F67" s="12"/>
      <c r="G67" s="12"/>
      <c r="H67" s="12"/>
      <c r="I67" s="12"/>
      <c r="J67" s="12"/>
    </row>
    <row r="68" spans="1:10">
      <c r="A68" s="11">
        <v>61</v>
      </c>
      <c r="B68" s="11"/>
      <c r="C68" s="11"/>
      <c r="D68" s="11"/>
      <c r="E68" s="11"/>
      <c r="F68" s="11"/>
      <c r="G68" s="11"/>
      <c r="H68" s="11"/>
      <c r="I68" s="11"/>
      <c r="J68" s="11"/>
    </row>
    <row r="69" spans="1:10">
      <c r="A69" s="12">
        <v>62</v>
      </c>
      <c r="B69" s="12"/>
      <c r="C69" s="12"/>
      <c r="D69" s="12"/>
      <c r="E69" s="12"/>
      <c r="F69" s="12"/>
      <c r="G69" s="12"/>
      <c r="H69" s="12"/>
      <c r="I69" s="12"/>
      <c r="J69" s="12"/>
    </row>
    <row r="70" spans="1:10">
      <c r="A70" s="11">
        <v>63</v>
      </c>
      <c r="B70" s="11"/>
      <c r="C70" s="11"/>
      <c r="D70" s="11"/>
      <c r="E70" s="11"/>
      <c r="F70" s="11"/>
      <c r="G70" s="11"/>
      <c r="H70" s="11"/>
      <c r="I70" s="11"/>
      <c r="J70" s="11"/>
    </row>
    <row r="71" spans="1:10">
      <c r="A71" s="12">
        <v>64</v>
      </c>
      <c r="B71" s="12"/>
      <c r="C71" s="12"/>
      <c r="D71" s="12"/>
      <c r="E71" s="12"/>
      <c r="F71" s="12"/>
      <c r="G71" s="12"/>
      <c r="H71" s="12"/>
      <c r="I71" s="12"/>
      <c r="J71" s="12"/>
    </row>
    <row r="72" spans="1:10">
      <c r="A72" s="11">
        <v>65</v>
      </c>
      <c r="B72" s="11"/>
      <c r="C72" s="11"/>
      <c r="D72" s="11"/>
      <c r="E72" s="11"/>
      <c r="F72" s="11"/>
      <c r="G72" s="11"/>
      <c r="H72" s="11"/>
      <c r="I72" s="11"/>
      <c r="J72" s="11"/>
    </row>
    <row r="73" spans="1:10">
      <c r="A73" s="12">
        <v>66</v>
      </c>
      <c r="B73" s="12"/>
      <c r="C73" s="12"/>
      <c r="D73" s="12"/>
      <c r="E73" s="12"/>
      <c r="F73" s="12"/>
      <c r="G73" s="12"/>
      <c r="H73" s="12"/>
      <c r="I73" s="12"/>
      <c r="J73" s="12"/>
    </row>
    <row r="74" spans="1:10">
      <c r="A74" s="11">
        <v>67</v>
      </c>
      <c r="B74" s="11"/>
      <c r="C74" s="11"/>
      <c r="D74" s="11"/>
      <c r="E74" s="11"/>
      <c r="F74" s="11"/>
      <c r="G74" s="11"/>
      <c r="H74" s="11"/>
      <c r="I74" s="11"/>
      <c r="J74" s="11"/>
    </row>
    <row r="75" spans="1:10">
      <c r="A75" s="12">
        <v>68</v>
      </c>
      <c r="B75" s="12"/>
      <c r="C75" s="12"/>
      <c r="D75" s="12"/>
      <c r="E75" s="12"/>
      <c r="F75" s="12"/>
      <c r="G75" s="12"/>
      <c r="H75" s="12"/>
      <c r="I75" s="12"/>
      <c r="J75" s="12"/>
    </row>
    <row r="76" spans="1:10">
      <c r="A76" s="11">
        <v>69</v>
      </c>
      <c r="B76" s="11"/>
      <c r="C76" s="11"/>
      <c r="D76" s="11"/>
      <c r="E76" s="11"/>
      <c r="F76" s="11"/>
      <c r="G76" s="11"/>
      <c r="H76" s="11"/>
      <c r="I76" s="11"/>
      <c r="J76" s="11"/>
    </row>
    <row r="77" spans="1:10">
      <c r="A77" s="12">
        <v>70</v>
      </c>
      <c r="B77" s="12"/>
      <c r="C77" s="12"/>
      <c r="D77" s="12"/>
      <c r="E77" s="12"/>
      <c r="F77" s="12"/>
      <c r="G77" s="12"/>
      <c r="H77" s="12"/>
      <c r="I77" s="12"/>
      <c r="J77" s="12"/>
    </row>
    <row r="78" spans="1:10">
      <c r="A78" s="11">
        <v>71</v>
      </c>
      <c r="B78" s="11"/>
      <c r="C78" s="11"/>
      <c r="D78" s="11"/>
      <c r="E78" s="11"/>
      <c r="F78" s="11"/>
      <c r="G78" s="11"/>
      <c r="H78" s="11"/>
      <c r="I78" s="11"/>
      <c r="J78" s="11"/>
    </row>
    <row r="79" spans="1:10">
      <c r="A79" s="12">
        <v>72</v>
      </c>
      <c r="B79" s="12"/>
      <c r="C79" s="12"/>
      <c r="D79" s="12"/>
      <c r="E79" s="12"/>
      <c r="F79" s="12"/>
      <c r="G79" s="12"/>
      <c r="H79" s="12"/>
      <c r="I79" s="12"/>
      <c r="J79" s="12"/>
    </row>
    <row r="80" spans="1:10">
      <c r="A80" s="11">
        <v>73</v>
      </c>
      <c r="B80" s="11"/>
      <c r="C80" s="11"/>
      <c r="D80" s="11"/>
      <c r="E80" s="11"/>
      <c r="F80" s="11"/>
      <c r="G80" s="11"/>
      <c r="H80" s="11"/>
      <c r="I80" s="11"/>
      <c r="J80" s="11"/>
    </row>
    <row r="81" spans="1:10">
      <c r="A81" s="12">
        <v>74</v>
      </c>
      <c r="B81" s="12"/>
      <c r="C81" s="12"/>
      <c r="D81" s="12"/>
      <c r="E81" s="12"/>
      <c r="F81" s="12"/>
      <c r="G81" s="12"/>
      <c r="H81" s="12"/>
      <c r="I81" s="12"/>
      <c r="J81" s="12"/>
    </row>
    <row r="82" spans="1:10">
      <c r="A82" s="11">
        <v>75</v>
      </c>
      <c r="B82" s="11"/>
      <c r="C82" s="11"/>
      <c r="D82" s="11"/>
      <c r="E82" s="11"/>
      <c r="F82" s="11"/>
      <c r="G82" s="11"/>
      <c r="H82" s="11"/>
      <c r="I82" s="11"/>
      <c r="J82" s="11"/>
    </row>
    <row r="83" spans="1:10">
      <c r="A83" s="12">
        <v>76</v>
      </c>
      <c r="B83" s="12"/>
      <c r="C83" s="12"/>
      <c r="D83" s="12"/>
      <c r="E83" s="12"/>
      <c r="F83" s="12"/>
      <c r="G83" s="12"/>
      <c r="H83" s="12"/>
      <c r="I83" s="12"/>
      <c r="J83" s="12"/>
    </row>
    <row r="84" spans="1:10">
      <c r="A84" s="11">
        <v>77</v>
      </c>
      <c r="B84" s="11"/>
      <c r="C84" s="11"/>
      <c r="D84" s="11"/>
      <c r="E84" s="11"/>
      <c r="F84" s="11"/>
      <c r="G84" s="11"/>
      <c r="H84" s="11"/>
      <c r="I84" s="11"/>
      <c r="J84" s="11"/>
    </row>
    <row r="85" spans="1:10">
      <c r="A85" s="12">
        <v>78</v>
      </c>
      <c r="B85" s="12"/>
      <c r="C85" s="12"/>
      <c r="D85" s="12"/>
      <c r="E85" s="12"/>
      <c r="F85" s="12"/>
      <c r="G85" s="12"/>
      <c r="H85" s="12"/>
      <c r="I85" s="12"/>
      <c r="J85" s="12"/>
    </row>
    <row r="86" spans="1:10">
      <c r="A86" s="11">
        <v>79</v>
      </c>
      <c r="B86" s="11"/>
      <c r="C86" s="11"/>
      <c r="D86" s="11"/>
      <c r="E86" s="11"/>
      <c r="F86" s="11"/>
      <c r="G86" s="11"/>
      <c r="H86" s="11"/>
      <c r="I86" s="11"/>
      <c r="J86" s="11"/>
    </row>
    <row r="87" spans="1:10">
      <c r="A87" s="12">
        <v>80</v>
      </c>
      <c r="B87" s="12"/>
      <c r="C87" s="12"/>
      <c r="D87" s="12"/>
      <c r="E87" s="12"/>
      <c r="F87" s="12"/>
      <c r="G87" s="12"/>
      <c r="H87" s="12"/>
      <c r="I87" s="12"/>
      <c r="J87" s="12"/>
    </row>
    <row r="88" spans="1:10">
      <c r="A88" s="11">
        <v>81</v>
      </c>
      <c r="B88" s="11"/>
      <c r="C88" s="11"/>
      <c r="D88" s="11"/>
      <c r="E88" s="11"/>
      <c r="F88" s="11"/>
      <c r="G88" s="11"/>
      <c r="H88" s="11"/>
      <c r="I88" s="11"/>
      <c r="J88" s="11"/>
    </row>
    <row r="89" spans="1:10">
      <c r="A89" s="12">
        <v>82</v>
      </c>
      <c r="B89" s="12"/>
      <c r="C89" s="12"/>
      <c r="D89" s="12"/>
      <c r="E89" s="12"/>
      <c r="F89" s="12"/>
      <c r="G89" s="12"/>
      <c r="H89" s="12"/>
      <c r="I89" s="12"/>
      <c r="J89" s="12"/>
    </row>
    <row r="90" spans="1:10">
      <c r="A90" s="11">
        <v>83</v>
      </c>
      <c r="B90" s="11"/>
      <c r="C90" s="11"/>
      <c r="D90" s="11"/>
      <c r="E90" s="11"/>
      <c r="F90" s="11"/>
      <c r="G90" s="11"/>
      <c r="H90" s="11"/>
      <c r="I90" s="11"/>
      <c r="J90" s="11"/>
    </row>
    <row r="91" spans="1:10">
      <c r="A91" s="12">
        <v>84</v>
      </c>
      <c r="B91" s="12"/>
      <c r="C91" s="12"/>
      <c r="D91" s="12"/>
      <c r="E91" s="12"/>
      <c r="F91" s="12"/>
      <c r="G91" s="12"/>
      <c r="H91" s="12"/>
      <c r="I91" s="12"/>
      <c r="J91" s="12"/>
    </row>
    <row r="92" spans="1:10">
      <c r="A92" s="11">
        <v>85</v>
      </c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12">
        <v>86</v>
      </c>
      <c r="B93" s="12"/>
      <c r="C93" s="12"/>
      <c r="D93" s="12"/>
      <c r="E93" s="12"/>
      <c r="F93" s="12"/>
      <c r="G93" s="12"/>
      <c r="H93" s="12"/>
      <c r="I93" s="12"/>
      <c r="J93" s="12"/>
    </row>
    <row r="94" spans="1:10">
      <c r="A94" s="11">
        <v>87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2">
        <v>88</v>
      </c>
      <c r="B95" s="12"/>
      <c r="C95" s="12"/>
      <c r="D95" s="12"/>
      <c r="E95" s="12"/>
      <c r="F95" s="12"/>
      <c r="G95" s="12"/>
      <c r="H95" s="12"/>
      <c r="I95" s="12"/>
      <c r="J95" s="12"/>
    </row>
    <row r="96" spans="1:10">
      <c r="A96" s="11">
        <v>89</v>
      </c>
      <c r="B96" s="11"/>
      <c r="C96" s="11"/>
      <c r="D96" s="11"/>
      <c r="E96" s="11"/>
      <c r="F96" s="11"/>
      <c r="G96" s="11"/>
      <c r="H96" s="11"/>
      <c r="I96" s="11"/>
      <c r="J96" s="11"/>
    </row>
    <row r="97" spans="1:10">
      <c r="A97" s="12">
        <v>90</v>
      </c>
      <c r="B97" s="12"/>
      <c r="C97" s="12"/>
      <c r="D97" s="12"/>
      <c r="E97" s="12"/>
      <c r="F97" s="12"/>
      <c r="G97" s="12"/>
      <c r="H97" s="12"/>
      <c r="I97" s="12"/>
      <c r="J97" s="12"/>
    </row>
    <row r="98" spans="1:10">
      <c r="A98" s="11">
        <v>91</v>
      </c>
      <c r="B98" s="11"/>
      <c r="C98" s="11"/>
      <c r="D98" s="11"/>
      <c r="E98" s="11"/>
      <c r="F98" s="11"/>
      <c r="G98" s="11"/>
      <c r="H98" s="11"/>
      <c r="I98" s="11"/>
      <c r="J98" s="11"/>
    </row>
    <row r="99" spans="1:10">
      <c r="A99" s="12">
        <v>92</v>
      </c>
      <c r="B99" s="12"/>
      <c r="C99" s="12"/>
      <c r="D99" s="12"/>
      <c r="E99" s="12"/>
      <c r="F99" s="12"/>
      <c r="G99" s="12"/>
      <c r="H99" s="12"/>
      <c r="I99" s="12"/>
      <c r="J99" s="12"/>
    </row>
    <row r="100" spans="1:10">
      <c r="A100" s="11">
        <v>93</v>
      </c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12">
        <v>94</v>
      </c>
      <c r="B101" s="12"/>
      <c r="C101" s="12"/>
      <c r="D101" s="12"/>
      <c r="E101" s="12"/>
      <c r="F101" s="12"/>
      <c r="G101" s="12"/>
      <c r="H101" s="12"/>
      <c r="I101" s="12"/>
      <c r="J101" s="12"/>
    </row>
    <row r="102" spans="1:10">
      <c r="A102" s="11">
        <v>95</v>
      </c>
      <c r="B102" s="11"/>
      <c r="C102" s="11"/>
      <c r="D102" s="11"/>
      <c r="E102" s="11"/>
      <c r="F102" s="11"/>
      <c r="G102" s="11"/>
      <c r="H102" s="11"/>
      <c r="I102" s="11"/>
      <c r="J102" s="11"/>
    </row>
    <row r="103" spans="1:10">
      <c r="A103" s="12">
        <v>96</v>
      </c>
      <c r="B103" s="12"/>
      <c r="C103" s="12"/>
      <c r="D103" s="12"/>
      <c r="E103" s="12"/>
      <c r="F103" s="12"/>
      <c r="G103" s="12"/>
      <c r="H103" s="12"/>
      <c r="I103" s="12"/>
      <c r="J103" s="12"/>
    </row>
    <row r="104" spans="1:10">
      <c r="A104" s="11">
        <v>97</v>
      </c>
      <c r="B104" s="11"/>
      <c r="C104" s="11"/>
      <c r="D104" s="11"/>
      <c r="E104" s="11"/>
      <c r="F104" s="11"/>
      <c r="G104" s="11"/>
      <c r="H104" s="11"/>
      <c r="I104" s="11"/>
      <c r="J104" s="11"/>
    </row>
    <row r="105" spans="1:10">
      <c r="A105" s="12">
        <v>98</v>
      </c>
      <c r="B105" s="12"/>
      <c r="C105" s="12"/>
      <c r="D105" s="12"/>
      <c r="E105" s="12"/>
      <c r="F105" s="12"/>
      <c r="G105" s="12"/>
      <c r="H105" s="12"/>
      <c r="I105" s="12"/>
      <c r="J105" s="12"/>
    </row>
    <row r="106" spans="1:10">
      <c r="A106" s="11">
        <v>99</v>
      </c>
      <c r="B106" s="11"/>
      <c r="C106" s="11"/>
      <c r="D106" s="11"/>
      <c r="E106" s="11"/>
      <c r="F106" s="11"/>
      <c r="G106" s="11"/>
      <c r="H106" s="11"/>
      <c r="I106" s="11"/>
      <c r="J106" s="11"/>
    </row>
    <row r="107" spans="1:10">
      <c r="A107" s="12">
        <v>100</v>
      </c>
      <c r="B107" s="12"/>
      <c r="C107" s="12"/>
      <c r="D107" s="12"/>
      <c r="E107" s="12"/>
      <c r="F107" s="12"/>
      <c r="G107" s="12"/>
      <c r="H107" s="12"/>
      <c r="I107" s="12"/>
      <c r="J107" s="12"/>
    </row>
  </sheetData>
  <autoFilter ref="A7:J7" xr:uid="{734F754A-ED19-467C-A9E9-68DE537F2D88}"/>
  <phoneticPr fontId="1"/>
  <dataValidations count="2">
    <dataValidation type="list" allowBlank="1" showInputMessage="1" showErrorMessage="1" sqref="F8:F1048576" xr:uid="{95303E1E-9E18-4C45-B26D-CC6D3EE584FC}">
      <formula1>"最高,高,中,低,最低"</formula1>
    </dataValidation>
    <dataValidation type="list" allowBlank="1" showInputMessage="1" showErrorMessage="1" sqref="I8:I1048576" xr:uid="{44434ACC-009B-44C7-BBAB-23B6C5E816D9}">
      <formula1>"0%,10%,20%,30%,40%,50%,60%,70%,80%,90%,100%"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C4D9-D3AC-4E80-A8CB-D43D60AADFA1}">
  <sheetPr codeName="Sheet58">
    <tabColor theme="5" tint="0.79998168889431442"/>
  </sheetPr>
  <dimension ref="A1:J107"/>
  <sheetViews>
    <sheetView zoomScale="85" zoomScaleNormal="85" workbookViewId="0">
      <pane ySplit="7" topLeftCell="A8" activePane="bottomLeft" state="frozen"/>
      <selection activeCell="G13" sqref="G13"/>
      <selection pane="bottomLeft" activeCell="G13" sqref="G13"/>
    </sheetView>
  </sheetViews>
  <sheetFormatPr defaultRowHeight="18"/>
  <cols>
    <col min="1" max="1" width="6" customWidth="1"/>
    <col min="2" max="2" width="20.3984375" bestFit="1" customWidth="1"/>
    <col min="3" max="3" width="11.3984375" bestFit="1" customWidth="1"/>
    <col min="4" max="4" width="16.5" bestFit="1" customWidth="1"/>
    <col min="5" max="6" width="11.3984375" bestFit="1" customWidth="1"/>
    <col min="7" max="7" width="23.796875" bestFit="1" customWidth="1"/>
    <col min="8" max="8" width="19.3984375" bestFit="1" customWidth="1"/>
    <col min="9" max="9" width="14.796875" bestFit="1" customWidth="1"/>
    <col min="10" max="10" width="9.3984375" bestFit="1" customWidth="1"/>
  </cols>
  <sheetData>
    <row r="1" spans="1:10" ht="27" thickBot="1">
      <c r="A1" s="2" t="s">
        <v>31</v>
      </c>
    </row>
    <row r="2" spans="1:10">
      <c r="B2" s="5" t="s">
        <v>20</v>
      </c>
      <c r="C2" s="14">
        <f>SUM(G8:G107)</f>
        <v>60</v>
      </c>
      <c r="D2" s="8" t="s">
        <v>21</v>
      </c>
      <c r="E2" s="15">
        <f>SUM(H8:H107)</f>
        <v>15</v>
      </c>
    </row>
    <row r="3" spans="1:10">
      <c r="B3" s="6" t="s">
        <v>22</v>
      </c>
      <c r="C3" s="11">
        <f>C2-E2</f>
        <v>45</v>
      </c>
      <c r="D3" s="9" t="s">
        <v>23</v>
      </c>
      <c r="E3" s="19">
        <f>IF(C2&gt;0, E2/C2, 0)</f>
        <v>0.25</v>
      </c>
    </row>
    <row r="4" spans="1:10">
      <c r="B4" s="6" t="s">
        <v>24</v>
      </c>
      <c r="C4" s="11">
        <v>20</v>
      </c>
      <c r="D4" s="9" t="s">
        <v>34</v>
      </c>
      <c r="E4" s="16">
        <v>8</v>
      </c>
    </row>
    <row r="5" spans="1:10" ht="18.600000000000001" thickBot="1">
      <c r="B5" s="7" t="s">
        <v>26</v>
      </c>
      <c r="C5" s="17">
        <f>IF(AND(C4&gt;0, E4&gt;0), C2/(C4*E4), 0)</f>
        <v>0.375</v>
      </c>
      <c r="D5" s="10" t="s">
        <v>27</v>
      </c>
      <c r="E5" s="18">
        <f>IF(E4&gt;0, C2/E4, 0)</f>
        <v>7.5</v>
      </c>
    </row>
    <row r="7" spans="1:10" ht="55.05" customHeight="1">
      <c r="A7" s="20" t="s">
        <v>28</v>
      </c>
      <c r="B7" s="20" t="s">
        <v>9</v>
      </c>
      <c r="C7" s="20" t="s">
        <v>10</v>
      </c>
      <c r="D7" s="20" t="s">
        <v>11</v>
      </c>
      <c r="E7" s="20" t="s">
        <v>0</v>
      </c>
      <c r="F7" s="20" t="s">
        <v>1</v>
      </c>
      <c r="G7" s="20" t="s">
        <v>2</v>
      </c>
      <c r="H7" s="20" t="s">
        <v>3</v>
      </c>
      <c r="I7" s="20" t="s">
        <v>4</v>
      </c>
      <c r="J7" s="20" t="s">
        <v>12</v>
      </c>
    </row>
    <row r="8" spans="1:10">
      <c r="A8" s="11">
        <v>1</v>
      </c>
      <c r="B8" s="11" t="s">
        <v>16</v>
      </c>
      <c r="C8" s="11" t="s">
        <v>17</v>
      </c>
      <c r="D8" s="11" t="s">
        <v>18</v>
      </c>
      <c r="E8" s="11" t="s">
        <v>8</v>
      </c>
      <c r="F8" s="11" t="s">
        <v>29</v>
      </c>
      <c r="G8" s="11">
        <v>20</v>
      </c>
      <c r="H8" s="11">
        <v>15</v>
      </c>
      <c r="I8" s="13">
        <v>0.8</v>
      </c>
      <c r="J8" s="11" t="s">
        <v>19</v>
      </c>
    </row>
    <row r="9" spans="1:10">
      <c r="A9" s="12">
        <v>2</v>
      </c>
      <c r="B9" s="11" t="s">
        <v>16</v>
      </c>
      <c r="C9" s="11" t="s">
        <v>59</v>
      </c>
      <c r="D9" s="11" t="s">
        <v>18</v>
      </c>
      <c r="E9" s="11" t="s">
        <v>8</v>
      </c>
      <c r="F9" s="11" t="s">
        <v>29</v>
      </c>
      <c r="G9" s="11">
        <v>40</v>
      </c>
      <c r="H9" s="11">
        <v>0</v>
      </c>
      <c r="I9" s="13">
        <v>0</v>
      </c>
      <c r="J9" s="11" t="s">
        <v>19</v>
      </c>
    </row>
    <row r="10" spans="1:10">
      <c r="A10" s="11">
        <v>3</v>
      </c>
      <c r="B10" s="11"/>
      <c r="C10" s="11"/>
      <c r="D10" s="11"/>
      <c r="E10" s="11"/>
      <c r="F10" s="11"/>
      <c r="G10" s="11"/>
      <c r="H10" s="11"/>
      <c r="I10" s="13"/>
      <c r="J10" s="11"/>
    </row>
    <row r="11" spans="1:10">
      <c r="A11" s="12">
        <v>4</v>
      </c>
      <c r="B11" s="11"/>
      <c r="C11" s="11"/>
      <c r="D11" s="11"/>
      <c r="E11" s="11"/>
      <c r="F11" s="11"/>
      <c r="G11" s="11"/>
      <c r="H11" s="11"/>
      <c r="I11" s="13"/>
      <c r="J11" s="11"/>
    </row>
    <row r="12" spans="1:10">
      <c r="A12" s="11">
        <v>5</v>
      </c>
      <c r="B12" s="11"/>
      <c r="C12" s="11"/>
      <c r="D12" s="11"/>
      <c r="E12" s="11"/>
      <c r="F12" s="11"/>
      <c r="G12" s="11"/>
      <c r="H12" s="11"/>
      <c r="I12" s="13"/>
      <c r="J12" s="11"/>
    </row>
    <row r="13" spans="1:10">
      <c r="A13" s="12">
        <v>6</v>
      </c>
      <c r="B13" s="11"/>
      <c r="C13" s="11"/>
      <c r="D13" s="11"/>
      <c r="E13" s="11"/>
      <c r="F13" s="11"/>
      <c r="G13" s="11"/>
      <c r="H13" s="11"/>
      <c r="I13" s="13"/>
      <c r="J13" s="11"/>
    </row>
    <row r="14" spans="1:10">
      <c r="A14" s="11">
        <v>7</v>
      </c>
      <c r="B14" s="11"/>
      <c r="C14" s="11"/>
      <c r="D14" s="11"/>
      <c r="E14" s="11"/>
      <c r="F14" s="11"/>
      <c r="G14" s="11"/>
      <c r="H14" s="11"/>
      <c r="I14" s="13"/>
      <c r="J14" s="11"/>
    </row>
    <row r="15" spans="1:10">
      <c r="A15" s="12">
        <v>8</v>
      </c>
      <c r="B15" s="11"/>
      <c r="C15" s="11"/>
      <c r="D15" s="11"/>
      <c r="E15" s="11"/>
      <c r="F15" s="11"/>
      <c r="G15" s="11"/>
      <c r="H15" s="11"/>
      <c r="I15" s="13"/>
      <c r="J15" s="11"/>
    </row>
    <row r="16" spans="1:10">
      <c r="A16" s="11">
        <v>9</v>
      </c>
      <c r="B16" s="11"/>
      <c r="C16" s="11"/>
      <c r="D16" s="11"/>
      <c r="E16" s="11"/>
      <c r="F16" s="11"/>
      <c r="G16" s="11"/>
      <c r="H16" s="11"/>
      <c r="I16" s="13"/>
      <c r="J16" s="11"/>
    </row>
    <row r="17" spans="1:10">
      <c r="A17" s="12">
        <v>10</v>
      </c>
      <c r="B17" s="11"/>
      <c r="C17" s="11"/>
      <c r="D17" s="11"/>
      <c r="E17" s="11"/>
      <c r="F17" s="11"/>
      <c r="G17" s="11"/>
      <c r="H17" s="11"/>
      <c r="I17" s="13"/>
      <c r="J17" s="11"/>
    </row>
    <row r="18" spans="1:10">
      <c r="A18" s="11">
        <v>11</v>
      </c>
      <c r="B18" s="11"/>
      <c r="C18" s="11"/>
      <c r="D18" s="11"/>
      <c r="E18" s="11"/>
      <c r="F18" s="11"/>
      <c r="G18" s="11"/>
      <c r="H18" s="11"/>
      <c r="I18" s="13"/>
      <c r="J18" s="11"/>
    </row>
    <row r="19" spans="1:10">
      <c r="A19" s="12">
        <v>12</v>
      </c>
      <c r="B19" s="11"/>
      <c r="C19" s="11"/>
      <c r="D19" s="11"/>
      <c r="E19" s="11"/>
      <c r="F19" s="11"/>
      <c r="G19" s="11"/>
      <c r="H19" s="11"/>
      <c r="I19" s="13"/>
      <c r="J19" s="11"/>
    </row>
    <row r="20" spans="1:10">
      <c r="A20" s="11">
        <v>13</v>
      </c>
      <c r="B20" s="11"/>
      <c r="C20" s="11"/>
      <c r="D20" s="11"/>
      <c r="E20" s="11"/>
      <c r="F20" s="11"/>
      <c r="G20" s="11"/>
      <c r="H20" s="11"/>
      <c r="I20" s="13"/>
      <c r="J20" s="11"/>
    </row>
    <row r="21" spans="1:10">
      <c r="A21" s="12">
        <v>14</v>
      </c>
      <c r="B21" s="11"/>
      <c r="C21" s="11"/>
      <c r="D21" s="11"/>
      <c r="E21" s="11"/>
      <c r="F21" s="11"/>
      <c r="G21" s="11"/>
      <c r="H21" s="11"/>
      <c r="I21" s="13"/>
      <c r="J21" s="11"/>
    </row>
    <row r="22" spans="1:10">
      <c r="A22" s="11">
        <v>15</v>
      </c>
      <c r="B22" s="11"/>
      <c r="C22" s="11"/>
      <c r="D22" s="11"/>
      <c r="E22" s="11"/>
      <c r="F22" s="11"/>
      <c r="G22" s="11"/>
      <c r="H22" s="11"/>
      <c r="I22" s="13"/>
      <c r="J22" s="11"/>
    </row>
    <row r="23" spans="1:10">
      <c r="A23" s="12">
        <v>16</v>
      </c>
      <c r="B23" s="12"/>
      <c r="C23" s="12"/>
      <c r="D23" s="12"/>
      <c r="E23" s="12"/>
      <c r="F23" s="12"/>
      <c r="G23" s="12"/>
      <c r="H23" s="12"/>
      <c r="I23" s="12"/>
      <c r="J23" s="12"/>
    </row>
    <row r="24" spans="1:10">
      <c r="A24" s="11">
        <v>17</v>
      </c>
      <c r="B24" s="11"/>
      <c r="C24" s="11"/>
      <c r="D24" s="11"/>
      <c r="E24" s="11"/>
      <c r="F24" s="11"/>
      <c r="G24" s="11"/>
      <c r="H24" s="11"/>
      <c r="I24" s="11"/>
      <c r="J24" s="11"/>
    </row>
    <row r="25" spans="1:10">
      <c r="A25" s="12">
        <v>18</v>
      </c>
      <c r="B25" s="12"/>
      <c r="C25" s="12"/>
      <c r="D25" s="12"/>
      <c r="E25" s="12"/>
      <c r="F25" s="12"/>
      <c r="G25" s="12"/>
      <c r="H25" s="12"/>
      <c r="I25" s="12"/>
      <c r="J25" s="12"/>
    </row>
    <row r="26" spans="1:10">
      <c r="A26" s="11">
        <v>19</v>
      </c>
      <c r="B26" s="11"/>
      <c r="C26" s="11"/>
      <c r="D26" s="11"/>
      <c r="E26" s="11"/>
      <c r="F26" s="11"/>
      <c r="G26" s="11"/>
      <c r="H26" s="11"/>
      <c r="I26" s="11"/>
      <c r="J26" s="11"/>
    </row>
    <row r="27" spans="1:10">
      <c r="A27" s="12">
        <v>20</v>
      </c>
      <c r="B27" s="12"/>
      <c r="C27" s="12"/>
      <c r="D27" s="12"/>
      <c r="E27" s="12"/>
      <c r="F27" s="12"/>
      <c r="G27" s="12"/>
      <c r="H27" s="12"/>
      <c r="I27" s="12"/>
      <c r="J27" s="12"/>
    </row>
    <row r="28" spans="1:10">
      <c r="A28" s="11">
        <v>21</v>
      </c>
      <c r="B28" s="11"/>
      <c r="C28" s="11"/>
      <c r="D28" s="11"/>
      <c r="E28" s="11"/>
      <c r="F28" s="11"/>
      <c r="G28" s="11"/>
      <c r="H28" s="11"/>
      <c r="I28" s="11"/>
      <c r="J28" s="11"/>
    </row>
    <row r="29" spans="1:10">
      <c r="A29" s="12">
        <v>22</v>
      </c>
      <c r="B29" s="12"/>
      <c r="C29" s="12"/>
      <c r="D29" s="12"/>
      <c r="E29" s="12"/>
      <c r="F29" s="12"/>
      <c r="G29" s="12"/>
      <c r="H29" s="12"/>
      <c r="I29" s="12"/>
      <c r="J29" s="12"/>
    </row>
    <row r="30" spans="1:10">
      <c r="A30" s="11">
        <v>23</v>
      </c>
      <c r="B30" s="11"/>
      <c r="C30" s="11"/>
      <c r="D30" s="11"/>
      <c r="E30" s="11"/>
      <c r="F30" s="11"/>
      <c r="G30" s="11"/>
      <c r="H30" s="11"/>
      <c r="I30" s="11"/>
      <c r="J30" s="11"/>
    </row>
    <row r="31" spans="1:10">
      <c r="A31" s="12">
        <v>24</v>
      </c>
      <c r="B31" s="12"/>
      <c r="C31" s="12"/>
      <c r="D31" s="12"/>
      <c r="E31" s="12"/>
      <c r="F31" s="12"/>
      <c r="G31" s="12"/>
      <c r="H31" s="12"/>
      <c r="I31" s="12"/>
      <c r="J31" s="12"/>
    </row>
    <row r="32" spans="1:10">
      <c r="A32" s="11">
        <v>25</v>
      </c>
      <c r="B32" s="11"/>
      <c r="C32" s="11"/>
      <c r="D32" s="11"/>
      <c r="E32" s="11"/>
      <c r="F32" s="11"/>
      <c r="G32" s="11"/>
      <c r="H32" s="11"/>
      <c r="I32" s="11"/>
      <c r="J32" s="11"/>
    </row>
    <row r="33" spans="1:10">
      <c r="A33" s="12">
        <v>26</v>
      </c>
      <c r="B33" s="12"/>
      <c r="C33" s="12"/>
      <c r="D33" s="12"/>
      <c r="E33" s="12"/>
      <c r="F33" s="12"/>
      <c r="G33" s="12"/>
      <c r="H33" s="12"/>
      <c r="I33" s="12"/>
      <c r="J33" s="12"/>
    </row>
    <row r="34" spans="1:10">
      <c r="A34" s="11">
        <v>27</v>
      </c>
      <c r="B34" s="11"/>
      <c r="C34" s="11"/>
      <c r="D34" s="11"/>
      <c r="E34" s="11"/>
      <c r="F34" s="11"/>
      <c r="G34" s="11"/>
      <c r="H34" s="11"/>
      <c r="I34" s="11"/>
      <c r="J34" s="11"/>
    </row>
    <row r="35" spans="1:10">
      <c r="A35" s="12">
        <v>28</v>
      </c>
      <c r="B35" s="12"/>
      <c r="C35" s="12"/>
      <c r="D35" s="12"/>
      <c r="E35" s="12"/>
      <c r="F35" s="12"/>
      <c r="G35" s="12"/>
      <c r="H35" s="12"/>
      <c r="I35" s="12"/>
      <c r="J35" s="12"/>
    </row>
    <row r="36" spans="1:10">
      <c r="A36" s="11">
        <v>29</v>
      </c>
      <c r="B36" s="11"/>
      <c r="C36" s="11"/>
      <c r="D36" s="11"/>
      <c r="E36" s="11"/>
      <c r="F36" s="11"/>
      <c r="G36" s="11"/>
      <c r="H36" s="11"/>
      <c r="I36" s="11"/>
      <c r="J36" s="11"/>
    </row>
    <row r="37" spans="1:10">
      <c r="A37" s="12">
        <v>30</v>
      </c>
      <c r="B37" s="12"/>
      <c r="C37" s="12"/>
      <c r="D37" s="12"/>
      <c r="E37" s="12"/>
      <c r="F37" s="12"/>
      <c r="G37" s="12"/>
      <c r="H37" s="12"/>
      <c r="I37" s="12"/>
      <c r="J37" s="12"/>
    </row>
    <row r="38" spans="1:10">
      <c r="A38" s="11">
        <v>31</v>
      </c>
      <c r="B38" s="11"/>
      <c r="C38" s="11"/>
      <c r="D38" s="11"/>
      <c r="E38" s="11"/>
      <c r="F38" s="11"/>
      <c r="G38" s="11"/>
      <c r="H38" s="11"/>
      <c r="I38" s="11"/>
      <c r="J38" s="11"/>
    </row>
    <row r="39" spans="1:10">
      <c r="A39" s="12">
        <v>32</v>
      </c>
      <c r="B39" s="12"/>
      <c r="C39" s="12"/>
      <c r="D39" s="12"/>
      <c r="E39" s="12"/>
      <c r="F39" s="12"/>
      <c r="G39" s="12"/>
      <c r="H39" s="12"/>
      <c r="I39" s="12"/>
      <c r="J39" s="12"/>
    </row>
    <row r="40" spans="1:10">
      <c r="A40" s="11">
        <v>33</v>
      </c>
      <c r="B40" s="11"/>
      <c r="C40" s="11"/>
      <c r="D40" s="11"/>
      <c r="E40" s="11"/>
      <c r="F40" s="11"/>
      <c r="G40" s="11"/>
      <c r="H40" s="11"/>
      <c r="I40" s="11"/>
      <c r="J40" s="11"/>
    </row>
    <row r="41" spans="1:10">
      <c r="A41" s="12">
        <v>34</v>
      </c>
      <c r="B41" s="12"/>
      <c r="C41" s="12"/>
      <c r="D41" s="12"/>
      <c r="E41" s="12"/>
      <c r="F41" s="12"/>
      <c r="G41" s="12"/>
      <c r="H41" s="12"/>
      <c r="I41" s="12"/>
      <c r="J41" s="12"/>
    </row>
    <row r="42" spans="1:10">
      <c r="A42" s="11">
        <v>35</v>
      </c>
      <c r="B42" s="11"/>
      <c r="C42" s="11"/>
      <c r="D42" s="11"/>
      <c r="E42" s="11"/>
      <c r="F42" s="11"/>
      <c r="G42" s="11"/>
      <c r="H42" s="11"/>
      <c r="I42" s="11"/>
      <c r="J42" s="11"/>
    </row>
    <row r="43" spans="1:10">
      <c r="A43" s="12">
        <v>36</v>
      </c>
      <c r="B43" s="12"/>
      <c r="C43" s="12"/>
      <c r="D43" s="12"/>
      <c r="E43" s="12"/>
      <c r="F43" s="12"/>
      <c r="G43" s="12"/>
      <c r="H43" s="12"/>
      <c r="I43" s="12"/>
      <c r="J43" s="12"/>
    </row>
    <row r="44" spans="1:10">
      <c r="A44" s="11">
        <v>37</v>
      </c>
      <c r="B44" s="11"/>
      <c r="C44" s="11"/>
      <c r="D44" s="11"/>
      <c r="E44" s="11"/>
      <c r="F44" s="11"/>
      <c r="G44" s="11"/>
      <c r="H44" s="11"/>
      <c r="I44" s="11"/>
      <c r="J44" s="11"/>
    </row>
    <row r="45" spans="1:10">
      <c r="A45" s="12">
        <v>38</v>
      </c>
      <c r="B45" s="12"/>
      <c r="C45" s="12"/>
      <c r="D45" s="12"/>
      <c r="E45" s="12"/>
      <c r="F45" s="12"/>
      <c r="G45" s="12"/>
      <c r="H45" s="12"/>
      <c r="I45" s="12"/>
      <c r="J45" s="12"/>
    </row>
    <row r="46" spans="1:10">
      <c r="A46" s="11">
        <v>39</v>
      </c>
      <c r="B46" s="11"/>
      <c r="C46" s="11"/>
      <c r="D46" s="11"/>
      <c r="E46" s="11"/>
      <c r="F46" s="11"/>
      <c r="G46" s="11"/>
      <c r="H46" s="11"/>
      <c r="I46" s="11"/>
      <c r="J46" s="11"/>
    </row>
    <row r="47" spans="1:10">
      <c r="A47" s="12">
        <v>40</v>
      </c>
      <c r="B47" s="12"/>
      <c r="C47" s="12"/>
      <c r="D47" s="12"/>
      <c r="E47" s="12"/>
      <c r="F47" s="12"/>
      <c r="G47" s="12"/>
      <c r="H47" s="12"/>
      <c r="I47" s="12"/>
      <c r="J47" s="12"/>
    </row>
    <row r="48" spans="1:10">
      <c r="A48" s="11">
        <v>41</v>
      </c>
      <c r="B48" s="11"/>
      <c r="C48" s="11"/>
      <c r="D48" s="11"/>
      <c r="E48" s="11"/>
      <c r="F48" s="11"/>
      <c r="G48" s="11"/>
      <c r="H48" s="11"/>
      <c r="I48" s="11"/>
      <c r="J48" s="11"/>
    </row>
    <row r="49" spans="1:10">
      <c r="A49" s="12">
        <v>42</v>
      </c>
      <c r="B49" s="12"/>
      <c r="C49" s="12"/>
      <c r="D49" s="12"/>
      <c r="E49" s="12"/>
      <c r="F49" s="12"/>
      <c r="G49" s="12"/>
      <c r="H49" s="12"/>
      <c r="I49" s="12"/>
      <c r="J49" s="12"/>
    </row>
    <row r="50" spans="1:10">
      <c r="A50" s="11">
        <v>43</v>
      </c>
      <c r="B50" s="11"/>
      <c r="C50" s="11"/>
      <c r="D50" s="11"/>
      <c r="E50" s="11"/>
      <c r="F50" s="11"/>
      <c r="G50" s="11"/>
      <c r="H50" s="11"/>
      <c r="I50" s="11"/>
      <c r="J50" s="11"/>
    </row>
    <row r="51" spans="1:10">
      <c r="A51" s="12">
        <v>44</v>
      </c>
      <c r="B51" s="12"/>
      <c r="C51" s="12"/>
      <c r="D51" s="12"/>
      <c r="E51" s="12"/>
      <c r="F51" s="12"/>
      <c r="G51" s="12"/>
      <c r="H51" s="12"/>
      <c r="I51" s="12"/>
      <c r="J51" s="12"/>
    </row>
    <row r="52" spans="1:10">
      <c r="A52" s="11">
        <v>45</v>
      </c>
      <c r="B52" s="11"/>
      <c r="C52" s="11"/>
      <c r="D52" s="11"/>
      <c r="E52" s="11"/>
      <c r="F52" s="11"/>
      <c r="G52" s="11"/>
      <c r="H52" s="11"/>
      <c r="I52" s="11"/>
      <c r="J52" s="11"/>
    </row>
    <row r="53" spans="1:10">
      <c r="A53" s="12">
        <v>46</v>
      </c>
      <c r="B53" s="12"/>
      <c r="C53" s="12"/>
      <c r="D53" s="12"/>
      <c r="E53" s="12"/>
      <c r="F53" s="12"/>
      <c r="G53" s="12"/>
      <c r="H53" s="12"/>
      <c r="I53" s="12"/>
      <c r="J53" s="12"/>
    </row>
    <row r="54" spans="1:10">
      <c r="A54" s="11">
        <v>47</v>
      </c>
      <c r="B54" s="11"/>
      <c r="C54" s="11"/>
      <c r="D54" s="11"/>
      <c r="E54" s="11"/>
      <c r="F54" s="11"/>
      <c r="G54" s="11"/>
      <c r="H54" s="11"/>
      <c r="I54" s="11"/>
      <c r="J54" s="11"/>
    </row>
    <row r="55" spans="1:10">
      <c r="A55" s="12">
        <v>48</v>
      </c>
      <c r="B55" s="12"/>
      <c r="C55" s="12"/>
      <c r="D55" s="12"/>
      <c r="E55" s="12"/>
      <c r="F55" s="12"/>
      <c r="G55" s="12"/>
      <c r="H55" s="12"/>
      <c r="I55" s="12"/>
      <c r="J55" s="12"/>
    </row>
    <row r="56" spans="1:10">
      <c r="A56" s="11">
        <v>49</v>
      </c>
      <c r="B56" s="11"/>
      <c r="C56" s="11"/>
      <c r="D56" s="11"/>
      <c r="E56" s="11"/>
      <c r="F56" s="11"/>
      <c r="G56" s="11"/>
      <c r="H56" s="11"/>
      <c r="I56" s="11"/>
      <c r="J56" s="11"/>
    </row>
    <row r="57" spans="1:10">
      <c r="A57" s="12">
        <v>50</v>
      </c>
      <c r="B57" s="12"/>
      <c r="C57" s="12"/>
      <c r="D57" s="12"/>
      <c r="E57" s="12"/>
      <c r="F57" s="12"/>
      <c r="G57" s="12"/>
      <c r="H57" s="12"/>
      <c r="I57" s="12"/>
      <c r="J57" s="12"/>
    </row>
    <row r="58" spans="1:10">
      <c r="A58" s="11">
        <v>51</v>
      </c>
      <c r="B58" s="11"/>
      <c r="C58" s="11"/>
      <c r="D58" s="11"/>
      <c r="E58" s="11"/>
      <c r="F58" s="11"/>
      <c r="G58" s="11"/>
      <c r="H58" s="11"/>
      <c r="I58" s="11"/>
      <c r="J58" s="11"/>
    </row>
    <row r="59" spans="1:10">
      <c r="A59" s="12">
        <v>52</v>
      </c>
      <c r="B59" s="12"/>
      <c r="C59" s="12"/>
      <c r="D59" s="12"/>
      <c r="E59" s="12"/>
      <c r="F59" s="12"/>
      <c r="G59" s="12"/>
      <c r="H59" s="12"/>
      <c r="I59" s="12"/>
      <c r="J59" s="12"/>
    </row>
    <row r="60" spans="1:10">
      <c r="A60" s="11">
        <v>53</v>
      </c>
      <c r="B60" s="11"/>
      <c r="C60" s="11"/>
      <c r="D60" s="11"/>
      <c r="E60" s="11"/>
      <c r="F60" s="11"/>
      <c r="G60" s="11"/>
      <c r="H60" s="11"/>
      <c r="I60" s="11"/>
      <c r="J60" s="11"/>
    </row>
    <row r="61" spans="1:10">
      <c r="A61" s="12">
        <v>54</v>
      </c>
      <c r="B61" s="12"/>
      <c r="C61" s="12"/>
      <c r="D61" s="12"/>
      <c r="E61" s="12"/>
      <c r="F61" s="12"/>
      <c r="G61" s="12"/>
      <c r="H61" s="12"/>
      <c r="I61" s="12"/>
      <c r="J61" s="12"/>
    </row>
    <row r="62" spans="1:10">
      <c r="A62" s="11">
        <v>55</v>
      </c>
      <c r="B62" s="11"/>
      <c r="C62" s="11"/>
      <c r="D62" s="11"/>
      <c r="E62" s="11"/>
      <c r="F62" s="11"/>
      <c r="G62" s="11"/>
      <c r="H62" s="11"/>
      <c r="I62" s="11"/>
      <c r="J62" s="11"/>
    </row>
    <row r="63" spans="1:10">
      <c r="A63" s="12">
        <v>56</v>
      </c>
      <c r="B63" s="12"/>
      <c r="C63" s="12"/>
      <c r="D63" s="12"/>
      <c r="E63" s="12"/>
      <c r="F63" s="12"/>
      <c r="G63" s="12"/>
      <c r="H63" s="12"/>
      <c r="I63" s="12"/>
      <c r="J63" s="12"/>
    </row>
    <row r="64" spans="1:10">
      <c r="A64" s="11">
        <v>57</v>
      </c>
      <c r="B64" s="11"/>
      <c r="C64" s="11"/>
      <c r="D64" s="11"/>
      <c r="E64" s="11"/>
      <c r="F64" s="11"/>
      <c r="G64" s="11"/>
      <c r="H64" s="11"/>
      <c r="I64" s="11"/>
      <c r="J64" s="11"/>
    </row>
    <row r="65" spans="1:10">
      <c r="A65" s="12">
        <v>58</v>
      </c>
      <c r="B65" s="12"/>
      <c r="C65" s="12"/>
      <c r="D65" s="12"/>
      <c r="E65" s="12"/>
      <c r="F65" s="12"/>
      <c r="G65" s="12"/>
      <c r="H65" s="12"/>
      <c r="I65" s="12"/>
      <c r="J65" s="12"/>
    </row>
    <row r="66" spans="1:10">
      <c r="A66" s="11">
        <v>59</v>
      </c>
      <c r="B66" s="11"/>
      <c r="C66" s="11"/>
      <c r="D66" s="11"/>
      <c r="E66" s="11"/>
      <c r="F66" s="11"/>
      <c r="G66" s="11"/>
      <c r="H66" s="11"/>
      <c r="I66" s="11"/>
      <c r="J66" s="11"/>
    </row>
    <row r="67" spans="1:10">
      <c r="A67" s="12">
        <v>60</v>
      </c>
      <c r="B67" s="12"/>
      <c r="C67" s="12"/>
      <c r="D67" s="12"/>
      <c r="E67" s="12"/>
      <c r="F67" s="12"/>
      <c r="G67" s="12"/>
      <c r="H67" s="12"/>
      <c r="I67" s="12"/>
      <c r="J67" s="12"/>
    </row>
    <row r="68" spans="1:10">
      <c r="A68" s="11">
        <v>61</v>
      </c>
      <c r="B68" s="11"/>
      <c r="C68" s="11"/>
      <c r="D68" s="11"/>
      <c r="E68" s="11"/>
      <c r="F68" s="11"/>
      <c r="G68" s="11"/>
      <c r="H68" s="11"/>
      <c r="I68" s="11"/>
      <c r="J68" s="11"/>
    </row>
    <row r="69" spans="1:10">
      <c r="A69" s="12">
        <v>62</v>
      </c>
      <c r="B69" s="12"/>
      <c r="C69" s="12"/>
      <c r="D69" s="12"/>
      <c r="E69" s="12"/>
      <c r="F69" s="12"/>
      <c r="G69" s="12"/>
      <c r="H69" s="12"/>
      <c r="I69" s="12"/>
      <c r="J69" s="12"/>
    </row>
    <row r="70" spans="1:10">
      <c r="A70" s="11">
        <v>63</v>
      </c>
      <c r="B70" s="11"/>
      <c r="C70" s="11"/>
      <c r="D70" s="11"/>
      <c r="E70" s="11"/>
      <c r="F70" s="11"/>
      <c r="G70" s="11"/>
      <c r="H70" s="11"/>
      <c r="I70" s="11"/>
      <c r="J70" s="11"/>
    </row>
    <row r="71" spans="1:10">
      <c r="A71" s="12">
        <v>64</v>
      </c>
      <c r="B71" s="12"/>
      <c r="C71" s="12"/>
      <c r="D71" s="12"/>
      <c r="E71" s="12"/>
      <c r="F71" s="12"/>
      <c r="G71" s="12"/>
      <c r="H71" s="12"/>
      <c r="I71" s="12"/>
      <c r="J71" s="12"/>
    </row>
    <row r="72" spans="1:10">
      <c r="A72" s="11">
        <v>65</v>
      </c>
      <c r="B72" s="11"/>
      <c r="C72" s="11"/>
      <c r="D72" s="11"/>
      <c r="E72" s="11"/>
      <c r="F72" s="11"/>
      <c r="G72" s="11"/>
      <c r="H72" s="11"/>
      <c r="I72" s="11"/>
      <c r="J72" s="11"/>
    </row>
    <row r="73" spans="1:10">
      <c r="A73" s="12">
        <v>66</v>
      </c>
      <c r="B73" s="12"/>
      <c r="C73" s="12"/>
      <c r="D73" s="12"/>
      <c r="E73" s="12"/>
      <c r="F73" s="12"/>
      <c r="G73" s="12"/>
      <c r="H73" s="12"/>
      <c r="I73" s="12"/>
      <c r="J73" s="12"/>
    </row>
    <row r="74" spans="1:10">
      <c r="A74" s="11">
        <v>67</v>
      </c>
      <c r="B74" s="11"/>
      <c r="C74" s="11"/>
      <c r="D74" s="11"/>
      <c r="E74" s="11"/>
      <c r="F74" s="11"/>
      <c r="G74" s="11"/>
      <c r="H74" s="11"/>
      <c r="I74" s="11"/>
      <c r="J74" s="11"/>
    </row>
    <row r="75" spans="1:10">
      <c r="A75" s="12">
        <v>68</v>
      </c>
      <c r="B75" s="12"/>
      <c r="C75" s="12"/>
      <c r="D75" s="12"/>
      <c r="E75" s="12"/>
      <c r="F75" s="12"/>
      <c r="G75" s="12"/>
      <c r="H75" s="12"/>
      <c r="I75" s="12"/>
      <c r="J75" s="12"/>
    </row>
    <row r="76" spans="1:10">
      <c r="A76" s="11">
        <v>69</v>
      </c>
      <c r="B76" s="11"/>
      <c r="C76" s="11"/>
      <c r="D76" s="11"/>
      <c r="E76" s="11"/>
      <c r="F76" s="11"/>
      <c r="G76" s="11"/>
      <c r="H76" s="11"/>
      <c r="I76" s="11"/>
      <c r="J76" s="11"/>
    </row>
    <row r="77" spans="1:10">
      <c r="A77" s="12">
        <v>70</v>
      </c>
      <c r="B77" s="12"/>
      <c r="C77" s="12"/>
      <c r="D77" s="12"/>
      <c r="E77" s="12"/>
      <c r="F77" s="12"/>
      <c r="G77" s="12"/>
      <c r="H77" s="12"/>
      <c r="I77" s="12"/>
      <c r="J77" s="12"/>
    </row>
    <row r="78" spans="1:10">
      <c r="A78" s="11">
        <v>71</v>
      </c>
      <c r="B78" s="11"/>
      <c r="C78" s="11"/>
      <c r="D78" s="11"/>
      <c r="E78" s="11"/>
      <c r="F78" s="11"/>
      <c r="G78" s="11"/>
      <c r="H78" s="11"/>
      <c r="I78" s="11"/>
      <c r="J78" s="11"/>
    </row>
    <row r="79" spans="1:10">
      <c r="A79" s="12">
        <v>72</v>
      </c>
      <c r="B79" s="12"/>
      <c r="C79" s="12"/>
      <c r="D79" s="12"/>
      <c r="E79" s="12"/>
      <c r="F79" s="12"/>
      <c r="G79" s="12"/>
      <c r="H79" s="12"/>
      <c r="I79" s="12"/>
      <c r="J79" s="12"/>
    </row>
    <row r="80" spans="1:10">
      <c r="A80" s="11">
        <v>73</v>
      </c>
      <c r="B80" s="11"/>
      <c r="C80" s="11"/>
      <c r="D80" s="11"/>
      <c r="E80" s="11"/>
      <c r="F80" s="11"/>
      <c r="G80" s="11"/>
      <c r="H80" s="11"/>
      <c r="I80" s="11"/>
      <c r="J80" s="11"/>
    </row>
    <row r="81" spans="1:10">
      <c r="A81" s="12">
        <v>74</v>
      </c>
      <c r="B81" s="12"/>
      <c r="C81" s="12"/>
      <c r="D81" s="12"/>
      <c r="E81" s="12"/>
      <c r="F81" s="12"/>
      <c r="G81" s="12"/>
      <c r="H81" s="12"/>
      <c r="I81" s="12"/>
      <c r="J81" s="12"/>
    </row>
    <row r="82" spans="1:10">
      <c r="A82" s="11">
        <v>75</v>
      </c>
      <c r="B82" s="11"/>
      <c r="C82" s="11"/>
      <c r="D82" s="11"/>
      <c r="E82" s="11"/>
      <c r="F82" s="11"/>
      <c r="G82" s="11"/>
      <c r="H82" s="11"/>
      <c r="I82" s="11"/>
      <c r="J82" s="11"/>
    </row>
    <row r="83" spans="1:10">
      <c r="A83" s="12">
        <v>76</v>
      </c>
      <c r="B83" s="12"/>
      <c r="C83" s="12"/>
      <c r="D83" s="12"/>
      <c r="E83" s="12"/>
      <c r="F83" s="12"/>
      <c r="G83" s="12"/>
      <c r="H83" s="12"/>
      <c r="I83" s="12"/>
      <c r="J83" s="12"/>
    </row>
    <row r="84" spans="1:10">
      <c r="A84" s="11">
        <v>77</v>
      </c>
      <c r="B84" s="11"/>
      <c r="C84" s="11"/>
      <c r="D84" s="11"/>
      <c r="E84" s="11"/>
      <c r="F84" s="11"/>
      <c r="G84" s="11"/>
      <c r="H84" s="11"/>
      <c r="I84" s="11"/>
      <c r="J84" s="11"/>
    </row>
    <row r="85" spans="1:10">
      <c r="A85" s="12">
        <v>78</v>
      </c>
      <c r="B85" s="12"/>
      <c r="C85" s="12"/>
      <c r="D85" s="12"/>
      <c r="E85" s="12"/>
      <c r="F85" s="12"/>
      <c r="G85" s="12"/>
      <c r="H85" s="12"/>
      <c r="I85" s="12"/>
      <c r="J85" s="12"/>
    </row>
    <row r="86" spans="1:10">
      <c r="A86" s="11">
        <v>79</v>
      </c>
      <c r="B86" s="11"/>
      <c r="C86" s="11"/>
      <c r="D86" s="11"/>
      <c r="E86" s="11"/>
      <c r="F86" s="11"/>
      <c r="G86" s="11"/>
      <c r="H86" s="11"/>
      <c r="I86" s="11"/>
      <c r="J86" s="11"/>
    </row>
    <row r="87" spans="1:10">
      <c r="A87" s="12">
        <v>80</v>
      </c>
      <c r="B87" s="12"/>
      <c r="C87" s="12"/>
      <c r="D87" s="12"/>
      <c r="E87" s="12"/>
      <c r="F87" s="12"/>
      <c r="G87" s="12"/>
      <c r="H87" s="12"/>
      <c r="I87" s="12"/>
      <c r="J87" s="12"/>
    </row>
    <row r="88" spans="1:10">
      <c r="A88" s="11">
        <v>81</v>
      </c>
      <c r="B88" s="11"/>
      <c r="C88" s="11"/>
      <c r="D88" s="11"/>
      <c r="E88" s="11"/>
      <c r="F88" s="11"/>
      <c r="G88" s="11"/>
      <c r="H88" s="11"/>
      <c r="I88" s="11"/>
      <c r="J88" s="11"/>
    </row>
    <row r="89" spans="1:10">
      <c r="A89" s="12">
        <v>82</v>
      </c>
      <c r="B89" s="12"/>
      <c r="C89" s="12"/>
      <c r="D89" s="12"/>
      <c r="E89" s="12"/>
      <c r="F89" s="12"/>
      <c r="G89" s="12"/>
      <c r="H89" s="12"/>
      <c r="I89" s="12"/>
      <c r="J89" s="12"/>
    </row>
    <row r="90" spans="1:10">
      <c r="A90" s="11">
        <v>83</v>
      </c>
      <c r="B90" s="11"/>
      <c r="C90" s="11"/>
      <c r="D90" s="11"/>
      <c r="E90" s="11"/>
      <c r="F90" s="11"/>
      <c r="G90" s="11"/>
      <c r="H90" s="11"/>
      <c r="I90" s="11"/>
      <c r="J90" s="11"/>
    </row>
    <row r="91" spans="1:10">
      <c r="A91" s="12">
        <v>84</v>
      </c>
      <c r="B91" s="12"/>
      <c r="C91" s="12"/>
      <c r="D91" s="12"/>
      <c r="E91" s="12"/>
      <c r="F91" s="12"/>
      <c r="G91" s="12"/>
      <c r="H91" s="12"/>
      <c r="I91" s="12"/>
      <c r="J91" s="12"/>
    </row>
    <row r="92" spans="1:10">
      <c r="A92" s="11">
        <v>85</v>
      </c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12">
        <v>86</v>
      </c>
      <c r="B93" s="12"/>
      <c r="C93" s="12"/>
      <c r="D93" s="12"/>
      <c r="E93" s="12"/>
      <c r="F93" s="12"/>
      <c r="G93" s="12"/>
      <c r="H93" s="12"/>
      <c r="I93" s="12"/>
      <c r="J93" s="12"/>
    </row>
    <row r="94" spans="1:10">
      <c r="A94" s="11">
        <v>87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2">
        <v>88</v>
      </c>
      <c r="B95" s="12"/>
      <c r="C95" s="12"/>
      <c r="D95" s="12"/>
      <c r="E95" s="12"/>
      <c r="F95" s="12"/>
      <c r="G95" s="12"/>
      <c r="H95" s="12"/>
      <c r="I95" s="12"/>
      <c r="J95" s="12"/>
    </row>
    <row r="96" spans="1:10">
      <c r="A96" s="11">
        <v>89</v>
      </c>
      <c r="B96" s="11"/>
      <c r="C96" s="11"/>
      <c r="D96" s="11"/>
      <c r="E96" s="11"/>
      <c r="F96" s="11"/>
      <c r="G96" s="11"/>
      <c r="H96" s="11"/>
      <c r="I96" s="11"/>
      <c r="J96" s="11"/>
    </row>
    <row r="97" spans="1:10">
      <c r="A97" s="12">
        <v>90</v>
      </c>
      <c r="B97" s="12"/>
      <c r="C97" s="12"/>
      <c r="D97" s="12"/>
      <c r="E97" s="12"/>
      <c r="F97" s="12"/>
      <c r="G97" s="12"/>
      <c r="H97" s="12"/>
      <c r="I97" s="12"/>
      <c r="J97" s="12"/>
    </row>
    <row r="98" spans="1:10">
      <c r="A98" s="11">
        <v>91</v>
      </c>
      <c r="B98" s="11"/>
      <c r="C98" s="11"/>
      <c r="D98" s="11"/>
      <c r="E98" s="11"/>
      <c r="F98" s="11"/>
      <c r="G98" s="11"/>
      <c r="H98" s="11"/>
      <c r="I98" s="11"/>
      <c r="J98" s="11"/>
    </row>
    <row r="99" spans="1:10">
      <c r="A99" s="12">
        <v>92</v>
      </c>
      <c r="B99" s="12"/>
      <c r="C99" s="12"/>
      <c r="D99" s="12"/>
      <c r="E99" s="12"/>
      <c r="F99" s="12"/>
      <c r="G99" s="12"/>
      <c r="H99" s="12"/>
      <c r="I99" s="12"/>
      <c r="J99" s="12"/>
    </row>
    <row r="100" spans="1:10">
      <c r="A100" s="11">
        <v>93</v>
      </c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12">
        <v>94</v>
      </c>
      <c r="B101" s="12"/>
      <c r="C101" s="12"/>
      <c r="D101" s="12"/>
      <c r="E101" s="12"/>
      <c r="F101" s="12"/>
      <c r="G101" s="12"/>
      <c r="H101" s="12"/>
      <c r="I101" s="12"/>
      <c r="J101" s="12"/>
    </row>
    <row r="102" spans="1:10">
      <c r="A102" s="11">
        <v>95</v>
      </c>
      <c r="B102" s="11"/>
      <c r="C102" s="11"/>
      <c r="D102" s="11"/>
      <c r="E102" s="11"/>
      <c r="F102" s="11"/>
      <c r="G102" s="11"/>
      <c r="H102" s="11"/>
      <c r="I102" s="11"/>
      <c r="J102" s="11"/>
    </row>
    <row r="103" spans="1:10">
      <c r="A103" s="12">
        <v>96</v>
      </c>
      <c r="B103" s="12"/>
      <c r="C103" s="12"/>
      <c r="D103" s="12"/>
      <c r="E103" s="12"/>
      <c r="F103" s="12"/>
      <c r="G103" s="12"/>
      <c r="H103" s="12"/>
      <c r="I103" s="12"/>
      <c r="J103" s="12"/>
    </row>
    <row r="104" spans="1:10">
      <c r="A104" s="11">
        <v>97</v>
      </c>
      <c r="B104" s="11"/>
      <c r="C104" s="11"/>
      <c r="D104" s="11"/>
      <c r="E104" s="11"/>
      <c r="F104" s="11"/>
      <c r="G104" s="11"/>
      <c r="H104" s="11"/>
      <c r="I104" s="11"/>
      <c r="J104" s="11"/>
    </row>
    <row r="105" spans="1:10">
      <c r="A105" s="12">
        <v>98</v>
      </c>
      <c r="B105" s="12"/>
      <c r="C105" s="12"/>
      <c r="D105" s="12"/>
      <c r="E105" s="12"/>
      <c r="F105" s="12"/>
      <c r="G105" s="12"/>
      <c r="H105" s="12"/>
      <c r="I105" s="12"/>
      <c r="J105" s="12"/>
    </row>
    <row r="106" spans="1:10">
      <c r="A106" s="11">
        <v>99</v>
      </c>
      <c r="B106" s="11"/>
      <c r="C106" s="11"/>
      <c r="D106" s="11"/>
      <c r="E106" s="11"/>
      <c r="F106" s="11"/>
      <c r="G106" s="11"/>
      <c r="H106" s="11"/>
      <c r="I106" s="11"/>
      <c r="J106" s="11"/>
    </row>
    <row r="107" spans="1:10">
      <c r="A107" s="12">
        <v>100</v>
      </c>
      <c r="B107" s="12"/>
      <c r="C107" s="12"/>
      <c r="D107" s="12"/>
      <c r="E107" s="12"/>
      <c r="F107" s="12"/>
      <c r="G107" s="12"/>
      <c r="H107" s="12"/>
      <c r="I107" s="12"/>
      <c r="J107" s="12"/>
    </row>
  </sheetData>
  <autoFilter ref="A7:J7" xr:uid="{C843C4D9-D3AC-4E80-A8CB-D43D60AADFA1}"/>
  <phoneticPr fontId="1"/>
  <dataValidations count="2">
    <dataValidation type="list" allowBlank="1" showInputMessage="1" showErrorMessage="1" sqref="F8:F1048576" xr:uid="{EFEBBAD2-464F-48C0-9A80-DC2C722B63B6}">
      <formula1>"最高,高,中,低,最低"</formula1>
    </dataValidation>
    <dataValidation type="list" allowBlank="1" showInputMessage="1" showErrorMessage="1" sqref="I8:I1048576" xr:uid="{82EC58EC-2745-49A9-B166-914ED7AF5E11}">
      <formula1>"0%,10%,20%,30%,40%,50%,60%,70%,80%,90%,100%"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DCC2-AAD8-4FDC-AA81-F133E049B03A}">
  <sheetPr codeName="Sheet74">
    <tabColor theme="5" tint="0.79998168889431442"/>
  </sheetPr>
  <dimension ref="A1:H5"/>
  <sheetViews>
    <sheetView workbookViewId="0">
      <selection activeCell="G13" sqref="G13"/>
    </sheetView>
  </sheetViews>
  <sheetFormatPr defaultRowHeight="18"/>
  <cols>
    <col min="1" max="1" width="11.3984375" bestFit="1" customWidth="1"/>
    <col min="2" max="3" width="12.3984375" bestFit="1" customWidth="1"/>
    <col min="4" max="4" width="19.796875" bestFit="1" customWidth="1"/>
    <col min="5" max="5" width="15.8984375" bestFit="1" customWidth="1"/>
    <col min="6" max="6" width="10" bestFit="1" customWidth="1"/>
    <col min="7" max="7" width="12" bestFit="1" customWidth="1"/>
    <col min="8" max="8" width="9.69921875" bestFit="1" customWidth="1"/>
  </cols>
  <sheetData>
    <row r="1" spans="1:8" ht="40.049999999999997" customHeight="1" thickBot="1">
      <c r="A1" s="24" t="s">
        <v>32</v>
      </c>
      <c r="B1" s="24"/>
      <c r="C1" s="24"/>
      <c r="D1" s="24"/>
      <c r="E1" s="24"/>
      <c r="F1" s="24"/>
      <c r="G1" s="24"/>
      <c r="H1" s="24"/>
    </row>
    <row r="2" spans="1:8" ht="18.600000000000001" thickBot="1">
      <c r="A2" s="25" t="s">
        <v>33</v>
      </c>
      <c r="B2" s="25" t="s">
        <v>13</v>
      </c>
      <c r="C2" s="25" t="s">
        <v>14</v>
      </c>
      <c r="D2" s="25" t="s">
        <v>5</v>
      </c>
      <c r="E2" s="25" t="s">
        <v>6</v>
      </c>
      <c r="F2" s="25" t="s">
        <v>7</v>
      </c>
      <c r="G2" s="25" t="s">
        <v>15</v>
      </c>
      <c r="H2" s="25" t="s">
        <v>4</v>
      </c>
    </row>
    <row r="3" spans="1:8">
      <c r="A3" s="3" t="s">
        <v>30</v>
      </c>
      <c r="B3" s="3">
        <f>'例）工数管理_a'!C4</f>
        <v>20</v>
      </c>
      <c r="C3" s="3">
        <f>'例）工数管理_a'!E4</f>
        <v>8</v>
      </c>
      <c r="D3" s="3">
        <f>'例）工数管理_a'!C2</f>
        <v>25</v>
      </c>
      <c r="E3" s="3">
        <f>'例）工数管理_a'!E2</f>
        <v>10</v>
      </c>
      <c r="F3" s="3">
        <f>'例）工数管理_a'!C2 - '例）工数管理_a'!E2</f>
        <v>15</v>
      </c>
      <c r="G3" s="3">
        <f>'例）工数管理_a'!C2 / ('例）工数管理_a'!C4 * '例）工数管理_a'!E4)</f>
        <v>0.15625</v>
      </c>
      <c r="H3" s="21">
        <f>'例）工数管理_a'!E3</f>
        <v>0.4</v>
      </c>
    </row>
    <row r="4" spans="1:8">
      <c r="A4" s="22" t="s">
        <v>31</v>
      </c>
      <c r="B4" s="22">
        <f>'例）工数管理_ｂ'!C4</f>
        <v>20</v>
      </c>
      <c r="C4" s="22">
        <f>'例）工数管理_ｂ'!E4</f>
        <v>8</v>
      </c>
      <c r="D4" s="22">
        <f>'例）工数管理_ｂ'!C2</f>
        <v>60</v>
      </c>
      <c r="E4" s="22">
        <f>'例）工数管理_ｂ'!E2</f>
        <v>15</v>
      </c>
      <c r="F4" s="22">
        <f>'例）工数管理_ｂ'!C2 - '例）工数管理_ｂ'!E2</f>
        <v>45</v>
      </c>
      <c r="G4" s="22">
        <f>'例）工数管理_ｂ'!C2 / ('例）工数管理_ｂ'!C4 * '例）工数管理_ｂ'!E4)</f>
        <v>0.375</v>
      </c>
      <c r="H4" s="23">
        <f>'例）工数管理_ｂ'!E3</f>
        <v>0.25</v>
      </c>
    </row>
    <row r="5" spans="1:8">
      <c r="A5" s="4" t="s">
        <v>35</v>
      </c>
      <c r="B5" s="4" t="s">
        <v>36</v>
      </c>
      <c r="C5" s="4" t="s">
        <v>36</v>
      </c>
      <c r="D5" s="4">
        <f>SUM(D3:D4)</f>
        <v>85</v>
      </c>
      <c r="E5" s="4">
        <f>SUM(E3:E4)</f>
        <v>25</v>
      </c>
      <c r="F5" s="4">
        <f>SUM(F3:F4)</f>
        <v>60</v>
      </c>
      <c r="G5" s="4">
        <f>SUM(G3:G4)</f>
        <v>0.53125</v>
      </c>
      <c r="H5" s="26">
        <f>AVERAGE(H3:H4)</f>
        <v>0.32500000000000001</v>
      </c>
    </row>
  </sheetData>
  <mergeCells count="1">
    <mergeCell ref="A1:H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見出し</vt:lpstr>
      <vt:lpstr>例）工数管理_a</vt:lpstr>
      <vt:lpstr>例）工数管理_ｂ</vt:lpstr>
      <vt:lpstr>例）サマリーシート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淳平 小松</dc:creator>
  <cp:lastModifiedBy>淳平 小松</cp:lastModifiedBy>
  <dcterms:created xsi:type="dcterms:W3CDTF">2025-01-03T01:27:30Z</dcterms:created>
  <dcterms:modified xsi:type="dcterms:W3CDTF">2025-01-04T00:32:17Z</dcterms:modified>
</cp:coreProperties>
</file>